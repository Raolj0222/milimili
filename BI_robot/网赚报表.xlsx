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7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0.00"/>
    <numFmt numFmtId="165" formatCode="#0.00%"/>
    <numFmt numFmtId="166" formatCode="#0.000"/>
    <numFmt numFmtId="167" formatCode="yyyy\-mm\-dd"/>
    <numFmt numFmtId="168" formatCode="#0"/>
    <numFmt numFmtId="169" formatCode="[$-F400]h:mm:ss\ AM/PM"/>
    <numFmt numFmtId="170" formatCode="0.00_);[Red]\(0.00\)"/>
    <numFmt numFmtId="171" formatCode="0_);[Red]\(0\)"/>
    <numFmt numFmtId="172" formatCode="[hh]:mm:ss"/>
    <numFmt numFmtId="173" formatCode="#0.0"/>
    <numFmt numFmtId="174" formatCode="0.0%"/>
  </numFmts>
  <fonts count="6">
    <font>
      <name val="等线"/>
      <charset val="1"/>
      <family val="2"/>
      <color indexed="8"/>
      <sz val="11"/>
      <scheme val="minor"/>
    </font>
    <font>
      <name val="微软雅黑"/>
      <charset val="134"/>
      <family val="2"/>
      <b val="1"/>
      <sz val="9"/>
    </font>
    <font>
      <name val="微软雅黑"/>
      <charset val="134"/>
      <family val="2"/>
      <sz val="9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微软雅黑"/>
      <charset val="134"/>
      <family val="2"/>
      <color indexed="8"/>
      <sz val="9"/>
    </font>
  </fonts>
  <fills count="14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99FF"/>
        <bgColor rgb="FFCC99FF"/>
      </patternFill>
    </fill>
    <fill>
      <patternFill patternType="solid">
        <fgColor rgb="FF66CCFF"/>
        <bgColor rgb="FF66CCFF"/>
      </patternFill>
    </fill>
    <fill>
      <patternFill patternType="solid">
        <fgColor rgb="FFCCFFCC"/>
        <bgColor rgb="FFCCFFCC"/>
      </patternFill>
    </fill>
    <fill>
      <patternFill patternType="solid">
        <fgColor rgb="FF66FFCC"/>
        <bgColor rgb="FF66FFCC"/>
      </patternFill>
    </fill>
    <fill>
      <patternFill patternType="solid">
        <fgColor rgb="FF66FFFF"/>
        <bgColor rgb="FF66FFFF"/>
      </patternFill>
    </fill>
    <fill>
      <patternFill patternType="solid">
        <fgColor rgb="FF99FFFF"/>
        <bgColor rgb="FF99FFFF"/>
      </patternFill>
    </fill>
    <fill>
      <patternFill patternType="solid">
        <fgColor rgb="FFCCFFFF"/>
        <bgColor rgb="FFCCFFFF"/>
      </patternFill>
    </fill>
    <fill>
      <patternFill patternType="solid">
        <fgColor rgb="FFFFCCFF"/>
        <bgColor rgb="FFFFCCFF"/>
      </patternFill>
    </fill>
    <fill>
      <patternFill patternType="solid">
        <fgColor rgb="FFFFCCCC"/>
        <bgColor rgb="FFFFCCCC"/>
      </patternFill>
    </fill>
    <fill>
      <patternFill patternType="solid">
        <fgColor theme="0"/>
        <bgColor rgb="FFCC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4" fillId="0" borderId="2" applyAlignment="1">
      <alignment vertical="center"/>
    </xf>
    <xf numFmtId="9" fontId="4" fillId="0" borderId="2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167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166" fontId="2" fillId="10" borderId="1" applyAlignment="1" pivotButton="0" quotePrefix="0" xfId="0">
      <alignment horizontal="center" vertical="center" wrapText="1"/>
    </xf>
    <xf numFmtId="168" fontId="2" fillId="10" borderId="1" applyAlignment="1" pivotButton="0" quotePrefix="0" xfId="0">
      <alignment horizontal="center" vertical="center" wrapText="1"/>
    </xf>
    <xf numFmtId="169" fontId="1" fillId="6" borderId="1" applyAlignment="1" pivotButton="0" quotePrefix="0" xfId="0">
      <alignment horizontal="center" vertical="center" wrapText="1"/>
    </xf>
    <xf numFmtId="169" fontId="2" fillId="12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169" fontId="2" fillId="10" borderId="1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0" fontId="0" fillId="0" borderId="0" pivotButton="0" quotePrefix="0" xfId="0"/>
    <xf numFmtId="170" fontId="1" fillId="3" borderId="1" applyAlignment="1" pivotButton="0" quotePrefix="0" xfId="0">
      <alignment horizontal="center" vertical="center" wrapText="1"/>
    </xf>
    <xf numFmtId="170" fontId="2" fillId="12" borderId="1" applyAlignment="1" pivotButton="0" quotePrefix="0" xfId="0">
      <alignment horizontal="center" vertical="center" wrapText="1"/>
    </xf>
    <xf numFmtId="170" fontId="2" fillId="0" borderId="1" applyAlignment="1" pivotButton="0" quotePrefix="0" xfId="0">
      <alignment horizontal="center" vertical="center" wrapText="1"/>
    </xf>
    <xf numFmtId="170" fontId="2" fillId="10" borderId="1" applyAlignment="1" pivotButton="0" quotePrefix="0" xfId="0">
      <alignment horizontal="center" vertical="center" wrapText="1"/>
    </xf>
    <xf numFmtId="170" fontId="0" fillId="0" borderId="0" pivotButton="0" quotePrefix="0" xfId="0"/>
    <xf numFmtId="9" fontId="1" fillId="3" borderId="1" applyAlignment="1" pivotButton="0" quotePrefix="0" xfId="1">
      <alignment horizontal="center" vertical="center" wrapText="1"/>
    </xf>
    <xf numFmtId="9" fontId="0" fillId="0" borderId="0" pivotButton="0" quotePrefix="0" xfId="1"/>
    <xf numFmtId="170" fontId="1" fillId="2" borderId="1" applyAlignment="1" pivotButton="0" quotePrefix="0" xfId="0">
      <alignment horizontal="center" vertical="center" wrapText="1"/>
    </xf>
    <xf numFmtId="171" fontId="1" fillId="5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71" fontId="2" fillId="0" borderId="1" applyAlignment="1" pivotButton="0" quotePrefix="0" xfId="0">
      <alignment horizontal="center" vertical="center" wrapText="1"/>
    </xf>
    <xf numFmtId="171" fontId="2" fillId="10" borderId="1" applyAlignment="1" pivotButton="0" quotePrefix="0" xfId="0">
      <alignment horizontal="center" vertical="center" wrapText="1"/>
    </xf>
    <xf numFmtId="171" fontId="0" fillId="0" borderId="0" pivotButton="0" quotePrefix="0" xfId="0"/>
    <xf numFmtId="167" fontId="2" fillId="10" borderId="4" applyAlignment="1" pivotButton="0" quotePrefix="0" xfId="0">
      <alignment horizontal="center" vertical="center" wrapText="1"/>
    </xf>
    <xf numFmtId="0" fontId="2" fillId="10" borderId="4" applyAlignment="1" pivotButton="0" quotePrefix="0" xfId="0">
      <alignment horizontal="center" vertical="center" wrapText="1"/>
    </xf>
    <xf numFmtId="170" fontId="2" fillId="10" borderId="4" applyAlignment="1" pivotButton="0" quotePrefix="0" xfId="0">
      <alignment horizontal="center" vertical="center" wrapText="1"/>
    </xf>
    <xf numFmtId="166" fontId="2" fillId="10" borderId="4" applyAlignment="1" pivotButton="0" quotePrefix="0" xfId="0">
      <alignment horizontal="center" vertical="center" wrapText="1"/>
    </xf>
    <xf numFmtId="171" fontId="2" fillId="10" borderId="4" applyAlignment="1" pivotButton="0" quotePrefix="0" xfId="0">
      <alignment horizontal="center" vertical="center" wrapText="1"/>
    </xf>
    <xf numFmtId="164" fontId="2" fillId="10" borderId="4" applyAlignment="1" pivotButton="0" quotePrefix="0" xfId="0">
      <alignment horizontal="center" vertical="center" wrapText="1"/>
    </xf>
    <xf numFmtId="168" fontId="2" fillId="10" borderId="4" applyAlignment="1" pivotButton="0" quotePrefix="0" xfId="0">
      <alignment horizontal="center" vertical="center" wrapText="1"/>
    </xf>
    <xf numFmtId="169" fontId="2" fillId="10" borderId="4" applyAlignment="1" pivotButton="0" quotePrefix="0" xfId="0">
      <alignment horizontal="center" vertical="center" wrapText="1"/>
    </xf>
    <xf numFmtId="165" fontId="2" fillId="1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72" fontId="5" fillId="0" borderId="3" applyAlignment="1" pivotButton="0" quotePrefix="0" xfId="0">
      <alignment horizontal="center"/>
    </xf>
    <xf numFmtId="173" fontId="2" fillId="10" borderId="1" applyAlignment="1" pivotButton="0" quotePrefix="0" xfId="0">
      <alignment horizontal="center" vertical="center" wrapText="1"/>
    </xf>
    <xf numFmtId="173" fontId="2" fillId="12" borderId="1" applyAlignment="1" pivotButton="0" quotePrefix="0" xfId="0">
      <alignment horizontal="center" vertical="center" wrapText="1"/>
    </xf>
    <xf numFmtId="173" fontId="2" fillId="0" borderId="1" applyAlignment="1" pivotButton="0" quotePrefix="0" xfId="0">
      <alignment horizontal="center" vertical="center" wrapText="1"/>
    </xf>
    <xf numFmtId="173" fontId="2" fillId="10" borderId="4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173" fontId="5" fillId="0" borderId="3" applyAlignment="1" pivotButton="0" quotePrefix="0" xfId="0">
      <alignment horizontal="center" vertical="center"/>
    </xf>
    <xf numFmtId="10" fontId="5" fillId="0" borderId="3" applyAlignment="1" pivotButton="0" quotePrefix="0" xfId="1">
      <alignment horizontal="center" vertical="center"/>
    </xf>
    <xf numFmtId="170" fontId="2" fillId="13" borderId="3" applyAlignment="1" pivotButton="0" quotePrefix="0" xfId="0">
      <alignment horizontal="center" vertical="center" wrapText="1"/>
    </xf>
    <xf numFmtId="174" fontId="2" fillId="12" borderId="1" applyAlignment="1" pivotButton="0" quotePrefix="0" xfId="1">
      <alignment horizontal="center" vertical="center" wrapText="1"/>
    </xf>
    <xf numFmtId="174" fontId="2" fillId="0" borderId="1" applyAlignment="1" pivotButton="0" quotePrefix="0" xfId="1">
      <alignment horizontal="center" vertical="center" wrapText="1"/>
    </xf>
    <xf numFmtId="174" fontId="2" fillId="10" borderId="1" applyAlignment="1" pivotButton="0" quotePrefix="0" xfId="1">
      <alignment horizontal="center" vertical="center" wrapText="1"/>
    </xf>
    <xf numFmtId="174" fontId="2" fillId="10" borderId="4" applyAlignment="1" pivotButton="0" quotePrefix="0" xfId="1">
      <alignment horizontal="center" vertical="center" wrapText="1"/>
    </xf>
    <xf numFmtId="174" fontId="2" fillId="13" borderId="3" applyAlignment="1" pivotButton="0" quotePrefix="0" xfId="1">
      <alignment horizontal="center" vertical="center" wrapText="1"/>
    </xf>
    <xf numFmtId="170" fontId="0" fillId="0" borderId="0" pivotButton="0" quotePrefix="0" xfId="0"/>
    <xf numFmtId="171" fontId="0" fillId="0" borderId="0" pivotButton="0" quotePrefix="0" xfId="0"/>
    <xf numFmtId="169" fontId="0" fillId="0" borderId="0" applyAlignment="1" pivotButton="0" quotePrefix="0" xfId="0">
      <alignment vertical="center"/>
    </xf>
    <xf numFmtId="170" fontId="1" fillId="2" borderId="1" applyAlignment="1" pivotButton="0" quotePrefix="0" xfId="0">
      <alignment horizontal="center" vertical="center" wrapText="1"/>
    </xf>
    <xf numFmtId="170" fontId="1" fillId="3" borderId="1" applyAlignment="1" pivotButton="0" quotePrefix="0" xfId="0">
      <alignment horizontal="center" vertical="center" wrapText="1"/>
    </xf>
    <xf numFmtId="171" fontId="1" fillId="5" borderId="1" applyAlignment="1" pivotButton="0" quotePrefix="0" xfId="0">
      <alignment horizontal="center" vertical="center" wrapText="1"/>
    </xf>
    <xf numFmtId="169" fontId="1" fillId="6" borderId="1" applyAlignment="1" pivotButton="0" quotePrefix="0" xfId="0">
      <alignment horizontal="center" vertical="center" wrapText="1"/>
    </xf>
    <xf numFmtId="170" fontId="2" fillId="12" borderId="1" applyAlignment="1" pivotButton="0" quotePrefix="0" xfId="0">
      <alignment horizontal="center" vertical="center" wrapText="1"/>
    </xf>
    <xf numFmtId="174" fontId="2" fillId="12" borderId="1" applyAlignment="1" pivotButton="0" quotePrefix="0" xfId="1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173" fontId="2" fillId="12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9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70" fontId="2" fillId="0" borderId="1" applyAlignment="1" pivotButton="0" quotePrefix="0" xfId="0">
      <alignment horizontal="center" vertical="center" wrapText="1"/>
    </xf>
    <xf numFmtId="174" fontId="2" fillId="0" borderId="1" applyAlignment="1" pivotButton="0" quotePrefix="0" xfId="1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73" fontId="2" fillId="0" borderId="1" applyAlignment="1" pivotButton="0" quotePrefix="0" xfId="0">
      <alignment horizontal="center" vertical="center" wrapText="1"/>
    </xf>
    <xf numFmtId="17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7" fontId="2" fillId="10" borderId="1" applyAlignment="1" pivotButton="0" quotePrefix="0" xfId="0">
      <alignment horizontal="center" vertical="center" wrapText="1"/>
    </xf>
    <xf numFmtId="170" fontId="2" fillId="10" borderId="1" applyAlignment="1" pivotButton="0" quotePrefix="0" xfId="0">
      <alignment horizontal="center" vertical="center" wrapText="1"/>
    </xf>
    <xf numFmtId="174" fontId="2" fillId="10" borderId="1" applyAlignment="1" pivotButton="0" quotePrefix="0" xfId="1">
      <alignment horizontal="center" vertical="center" wrapText="1"/>
    </xf>
    <xf numFmtId="166" fontId="2" fillId="10" borderId="1" applyAlignment="1" pivotButton="0" quotePrefix="0" xfId="0">
      <alignment horizontal="center" vertical="center" wrapText="1"/>
    </xf>
    <xf numFmtId="173" fontId="2" fillId="10" borderId="1" applyAlignment="1" pivotButton="0" quotePrefix="0" xfId="0">
      <alignment horizontal="center" vertical="center" wrapText="1"/>
    </xf>
    <xf numFmtId="171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68" fontId="2" fillId="10" borderId="1" applyAlignment="1" pivotButton="0" quotePrefix="0" xfId="0">
      <alignment horizontal="center" vertical="center" wrapText="1"/>
    </xf>
    <xf numFmtId="169" fontId="2" fillId="10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167" fontId="2" fillId="10" borderId="4" applyAlignment="1" pivotButton="0" quotePrefix="0" xfId="0">
      <alignment horizontal="center" vertical="center" wrapText="1"/>
    </xf>
    <xf numFmtId="170" fontId="2" fillId="10" borderId="4" applyAlignment="1" pivotButton="0" quotePrefix="0" xfId="0">
      <alignment horizontal="center" vertical="center" wrapText="1"/>
    </xf>
    <xf numFmtId="174" fontId="2" fillId="10" borderId="4" applyAlignment="1" pivotButton="0" quotePrefix="0" xfId="1">
      <alignment horizontal="center" vertical="center" wrapText="1"/>
    </xf>
    <xf numFmtId="166" fontId="2" fillId="10" borderId="4" applyAlignment="1" pivotButton="0" quotePrefix="0" xfId="0">
      <alignment horizontal="center" vertical="center" wrapText="1"/>
    </xf>
    <xf numFmtId="173" fontId="2" fillId="10" borderId="4" applyAlignment="1" pivotButton="0" quotePrefix="0" xfId="0">
      <alignment horizontal="center" vertical="center" wrapText="1"/>
    </xf>
    <xf numFmtId="171" fontId="2" fillId="10" borderId="4" applyAlignment="1" pivotButton="0" quotePrefix="0" xfId="0">
      <alignment horizontal="center" vertical="center" wrapText="1"/>
    </xf>
    <xf numFmtId="164" fontId="2" fillId="10" borderId="4" applyAlignment="1" pivotButton="0" quotePrefix="0" xfId="0">
      <alignment horizontal="center" vertical="center" wrapText="1"/>
    </xf>
    <xf numFmtId="168" fontId="2" fillId="10" borderId="4" applyAlignment="1" pivotButton="0" quotePrefix="0" xfId="0">
      <alignment horizontal="center" vertical="center" wrapText="1"/>
    </xf>
    <xf numFmtId="169" fontId="2" fillId="10" borderId="4" applyAlignment="1" pivotButton="0" quotePrefix="0" xfId="0">
      <alignment horizontal="center" vertical="center" wrapText="1"/>
    </xf>
    <xf numFmtId="165" fontId="2" fillId="10" borderId="4" applyAlignment="1" pivotButton="0" quotePrefix="0" xfId="0">
      <alignment horizontal="center" vertical="center" wrapText="1"/>
    </xf>
    <xf numFmtId="174" fontId="2" fillId="13" borderId="3" applyAlignment="1" pivotButton="0" quotePrefix="0" xfId="1">
      <alignment horizontal="center" vertical="center" wrapText="1"/>
    </xf>
    <xf numFmtId="170" fontId="2" fillId="13" borderId="3" applyAlignment="1" pivotButton="0" quotePrefix="0" xfId="0">
      <alignment horizontal="center" vertical="center" wrapText="1"/>
    </xf>
    <xf numFmtId="166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172" fontId="5" fillId="0" borderId="3" applyAlignment="1" pivotButton="0" quotePrefix="0" xfId="0">
      <alignment horizontal="center"/>
    </xf>
    <xf numFmtId="173" fontId="5" fillId="0" borderId="3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H12" sqref="H12"/>
    </sheetView>
  </sheetViews>
  <sheetFormatPr baseColWidth="8" defaultColWidth="9.59765625" defaultRowHeight="13.9"/>
  <cols>
    <col width="10.73046875" customWidth="1" style="32" min="1" max="1"/>
    <col width="16.265625" customWidth="1" style="32" min="2" max="2"/>
    <col width="5.265625" customWidth="1" style="32" min="3" max="3"/>
    <col width="13.1328125" customWidth="1" style="73" min="4" max="4"/>
    <col width="10.53125" customWidth="1" style="73" min="5" max="5"/>
    <col width="9.46484375" customWidth="1" style="39" min="6" max="6"/>
    <col width="15.33203125" customWidth="1" style="73" min="7" max="7"/>
    <col width="9.19921875" customWidth="1" style="32" min="8" max="8"/>
    <col width="9.46484375" customWidth="1" style="32" min="9" max="9"/>
    <col width="7.33203125" customWidth="1" style="32" min="10" max="10"/>
    <col width="8.3984375" customWidth="1" style="74" min="11" max="11"/>
    <col width="8.1328125" customWidth="1" style="32" min="12" max="12"/>
    <col width="7.73046875" customWidth="1" style="32" min="13" max="13"/>
    <col width="8" customWidth="1" style="32" min="14" max="14"/>
    <col width="8.1328125" customWidth="1" style="32" min="15" max="15"/>
    <col width="8.6640625" customWidth="1" style="32" min="16" max="16"/>
    <col width="5" customWidth="1" style="32" min="17" max="17"/>
    <col width="14.53125" customWidth="1" style="75" min="18" max="18"/>
    <col width="10.73046875" customWidth="1" style="32" min="19" max="19"/>
    <col width="10.59765625" customWidth="1" style="32" min="20" max="20"/>
    <col width="6.9296875" customWidth="1" style="32" min="21" max="21"/>
    <col width="7.19921875" customWidth="1" style="32" min="22" max="22"/>
    <col width="8" customWidth="1" style="32" min="23" max="23"/>
    <col width="8.3984375" customWidth="1" style="32" min="24" max="24"/>
    <col width="7.06640625" customWidth="1" style="32" min="25" max="25"/>
    <col width="7.46484375" customWidth="1" style="32" min="26" max="26"/>
    <col width="7.06640625" customWidth="1" style="32" min="27" max="27"/>
    <col width="7.19921875" customWidth="1" style="32" min="28" max="28"/>
    <col width="7.06640625" customWidth="1" style="32" min="29" max="29"/>
    <col width="8" customWidth="1" style="32" min="30" max="30"/>
    <col width="11" customWidth="1" style="32" min="31" max="31"/>
    <col width="9.59765625" customWidth="1" style="32" min="32" max="32"/>
    <col width="7.86328125" customWidth="1" style="32" min="33" max="33"/>
    <col width="8.6640625" customWidth="1" style="32" min="34" max="34"/>
    <col width="10.19921875" customWidth="1" style="32" min="35" max="35"/>
    <col width="10.33203125" customWidth="1" style="32" min="36" max="36"/>
    <col width="9.796875" customWidth="1" style="32" min="37" max="38"/>
    <col width="12.59765625" customWidth="1" style="32" min="39" max="39"/>
  </cols>
  <sheetData>
    <row r="1" ht="29.75" customHeight="1" s="32">
      <c r="A1" s="1" t="inlineStr">
        <is>
          <t>日期</t>
        </is>
      </c>
      <c r="B1" s="1" t="inlineStr">
        <is>
          <t>应用名</t>
        </is>
      </c>
      <c r="C1" s="1" t="inlineStr">
        <is>
          <t>国家</t>
        </is>
      </c>
      <c r="D1" s="76" t="inlineStr">
        <is>
          <t>总支出</t>
        </is>
      </c>
      <c r="E1" s="76" t="inlineStr">
        <is>
          <t>总收入</t>
        </is>
      </c>
      <c r="F1" s="38" t="inlineStr">
        <is>
          <t>总ROI</t>
        </is>
      </c>
      <c r="G1" s="77" t="inlineStr">
        <is>
          <t>毛利</t>
        </is>
      </c>
      <c r="H1" s="2" t="inlineStr">
        <is>
          <t>总体arpu</t>
        </is>
      </c>
      <c r="I1" s="3" t="inlineStr">
        <is>
          <t>提现支出</t>
        </is>
      </c>
      <c r="J1" s="4" t="inlineStr">
        <is>
          <t>新增成本</t>
        </is>
      </c>
      <c r="K1" s="78" t="inlineStr">
        <is>
          <t>转化人数</t>
        </is>
      </c>
      <c r="L1" s="4" t="inlineStr">
        <is>
          <t>推广支出</t>
        </is>
      </c>
      <c r="M1" s="4" t="inlineStr">
        <is>
          <t>推广CPI</t>
        </is>
      </c>
      <c r="N1" s="5" t="inlineStr">
        <is>
          <t>新增</t>
        </is>
      </c>
      <c r="O1" s="5" t="inlineStr">
        <is>
          <t>活跃</t>
        </is>
      </c>
      <c r="P1" s="5" t="inlineStr">
        <is>
          <t>新增活跃比</t>
        </is>
      </c>
      <c r="Q1" s="5" t="inlineStr">
        <is>
          <t>自然新增</t>
        </is>
      </c>
      <c r="R1" s="79" t="inlineStr">
        <is>
          <t>人均日使用时长</t>
        </is>
      </c>
      <c r="S1" s="6" t="inlineStr">
        <is>
          <t>广告收入</t>
        </is>
      </c>
      <c r="T1" s="6" t="inlineStr">
        <is>
          <t>广告ROI</t>
        </is>
      </c>
      <c r="U1" s="6" t="inlineStr">
        <is>
          <t>广告arpu</t>
        </is>
      </c>
      <c r="V1" s="7" t="inlineStr">
        <is>
          <t>激励人均展示</t>
        </is>
      </c>
      <c r="W1" s="7" t="inlineStr">
        <is>
          <t>插页人均展示</t>
        </is>
      </c>
      <c r="X1" s="7" t="inlineStr">
        <is>
          <t>banner人均展示</t>
        </is>
      </c>
      <c r="Y1" s="8" t="inlineStr">
        <is>
          <t>激励收入</t>
        </is>
      </c>
      <c r="Z1" s="8" t="inlineStr">
        <is>
          <t>插页收入</t>
        </is>
      </c>
      <c r="AA1" s="8" t="inlineStr">
        <is>
          <t>banner收入</t>
        </is>
      </c>
      <c r="AB1" s="9" t="inlineStr">
        <is>
          <t>激励ecpm</t>
        </is>
      </c>
      <c r="AC1" s="9" t="inlineStr">
        <is>
          <t>插页ecpm</t>
        </is>
      </c>
      <c r="AD1" s="9" t="inlineStr">
        <is>
          <t>banner ecpm</t>
        </is>
      </c>
      <c r="AE1" s="3" t="inlineStr">
        <is>
          <t>积分墙总收入</t>
        </is>
      </c>
      <c r="AF1" s="3" t="inlineStr">
        <is>
          <t>积分墙总ROI</t>
        </is>
      </c>
      <c r="AG1" s="3" t="inlineStr">
        <is>
          <t>积分墙arpu</t>
        </is>
      </c>
      <c r="AH1" s="10" t="inlineStr">
        <is>
          <t>adjoe收入</t>
        </is>
      </c>
      <c r="AI1" s="10" t="inlineStr">
        <is>
          <t>adjoeROI</t>
        </is>
      </c>
      <c r="AJ1" s="10" t="inlineStr">
        <is>
          <t>adjoe ecpm</t>
        </is>
      </c>
      <c r="AK1" s="10" t="inlineStr">
        <is>
          <t>okspin收入</t>
        </is>
      </c>
      <c r="AL1" s="10" t="inlineStr">
        <is>
          <t>okspinROI</t>
        </is>
      </c>
      <c r="AM1" s="10" t="inlineStr">
        <is>
          <t>okspinecpm</t>
        </is>
      </c>
    </row>
    <row r="2" ht="22.6" customHeight="1" s="32">
      <c r="A2" s="11" t="inlineStr">
        <is>
          <t>合计</t>
        </is>
      </c>
      <c r="B2" s="11" t="n"/>
      <c r="C2" s="11" t="n"/>
      <c r="D2" s="80">
        <f>SUM(D3:D8)</f>
        <v/>
      </c>
      <c r="E2" s="80">
        <f>SUM(E3:E8)</f>
        <v/>
      </c>
      <c r="F2" s="81">
        <f>E2/D2</f>
        <v/>
      </c>
      <c r="G2" s="80">
        <f>E2-D2</f>
        <v/>
      </c>
      <c r="H2" s="82">
        <f>E2/O2</f>
        <v/>
      </c>
      <c r="I2" s="83">
        <f>SUM(I3:I8)</f>
        <v/>
      </c>
      <c r="J2" s="82">
        <f>D2/N2</f>
        <v/>
      </c>
      <c r="K2" s="84">
        <f>SUM(K3:K8)</f>
        <v/>
      </c>
      <c r="L2" s="85">
        <f>SUM(L3:L8)</f>
        <v/>
      </c>
      <c r="M2" s="82">
        <f>L2/K2</f>
        <v/>
      </c>
      <c r="N2" s="11">
        <f>SUM(N3:N8)</f>
        <v/>
      </c>
      <c r="O2" s="11">
        <f>SUM(O3:O8)</f>
        <v/>
      </c>
      <c r="P2" s="85">
        <f>O2/N2</f>
        <v/>
      </c>
      <c r="Q2" s="84">
        <f>N2-K2</f>
        <v/>
      </c>
      <c r="R2" s="86" t="n"/>
      <c r="S2" s="85">
        <f>SUM(S3:S8)</f>
        <v/>
      </c>
      <c r="T2" s="87">
        <f>S2/D2</f>
        <v/>
      </c>
      <c r="U2" s="82">
        <f>S2/O2</f>
        <v/>
      </c>
      <c r="V2" s="85" t="n"/>
      <c r="W2" s="85" t="n"/>
      <c r="X2" s="85" t="n"/>
      <c r="Y2" s="85">
        <f>SUM(Y3:Y8)</f>
        <v/>
      </c>
      <c r="Z2" s="85">
        <f>SUM(Z3:Z8)</f>
        <v/>
      </c>
      <c r="AA2" s="83">
        <f>SUM(AA3:AA8)</f>
        <v/>
      </c>
      <c r="AB2" s="83" t="n"/>
      <c r="AC2" s="83" t="n"/>
      <c r="AD2" s="85" t="n"/>
      <c r="AE2" s="85">
        <f>SUM(AE3:AE8)</f>
        <v/>
      </c>
      <c r="AF2" s="87">
        <f>AE2/D2</f>
        <v/>
      </c>
      <c r="AG2" s="82">
        <f>AE2/O2</f>
        <v/>
      </c>
      <c r="AH2" s="85">
        <f>SUM(AH3:AH8)</f>
        <v/>
      </c>
      <c r="AI2" s="87">
        <f>AH2/D2</f>
        <v/>
      </c>
      <c r="AJ2" s="85" t="n"/>
      <c r="AK2" s="85">
        <f>SUM(AK3:AK8)</f>
        <v/>
      </c>
      <c r="AL2" s="87">
        <f>AK2/D2</f>
        <v/>
      </c>
      <c r="AM2" s="85" t="n"/>
    </row>
    <row r="3" ht="14.35" customHeight="1" s="32">
      <c r="A3" s="88" t="inlineStr">
        <is>
          <t>2023-12-13</t>
        </is>
      </c>
      <c r="B3" s="88" t="inlineStr">
        <is>
          <t>Daub Farm</t>
        </is>
      </c>
      <c r="C3" s="15" t="inlineStr">
        <is>
          <t>US</t>
        </is>
      </c>
      <c r="D3" s="89" t="n">
        <v>0</v>
      </c>
      <c r="E3" s="89" t="n">
        <v>38.95</v>
      </c>
      <c r="F3" s="90" t="n"/>
      <c r="G3" s="89" t="n">
        <v>38.95</v>
      </c>
      <c r="H3" s="91" t="n">
        <v>0.2579470198675497</v>
      </c>
      <c r="I3" s="92" t="n">
        <v>0</v>
      </c>
      <c r="J3" s="91" t="n">
        <v>0</v>
      </c>
      <c r="K3" s="93" t="n">
        <v>0</v>
      </c>
      <c r="L3" s="94" t="n">
        <v>0</v>
      </c>
      <c r="M3" s="91" t="n"/>
      <c r="N3" s="15" t="n">
        <v>3</v>
      </c>
      <c r="O3" s="15" t="n">
        <v>151</v>
      </c>
      <c r="P3" s="94" t="n">
        <v>50.33333333333334</v>
      </c>
      <c r="Q3" s="95" t="n">
        <v>3</v>
      </c>
      <c r="R3" s="96" t="n">
        <v>0.01130787037037037</v>
      </c>
      <c r="S3" s="94" t="n">
        <v>17.51</v>
      </c>
      <c r="T3" s="97" t="n"/>
      <c r="U3" s="91" t="n">
        <v>0.1159602649006622</v>
      </c>
      <c r="V3" s="94" t="n">
        <v>4.311258278145695</v>
      </c>
      <c r="W3" s="94" t="n">
        <v>1.516556291390728</v>
      </c>
      <c r="X3" s="94" t="n">
        <v>0</v>
      </c>
      <c r="Y3" s="94" t="n">
        <v>12.29</v>
      </c>
      <c r="Z3" s="94" t="n">
        <v>5.22</v>
      </c>
      <c r="AA3" s="92" t="n">
        <v>0</v>
      </c>
      <c r="AB3" s="92" t="n">
        <v>18.87864823348694</v>
      </c>
      <c r="AC3" s="92" t="n">
        <v>22.79475982532751</v>
      </c>
      <c r="AD3" s="94" t="n"/>
      <c r="AE3" s="94" t="n">
        <v>21.44</v>
      </c>
      <c r="AF3" s="97" t="n"/>
      <c r="AG3" s="91" t="n">
        <v>0.1419867549668874</v>
      </c>
      <c r="AH3" s="94" t="n">
        <v>21.44</v>
      </c>
      <c r="AI3" s="97" t="n"/>
      <c r="AJ3" s="94" t="n">
        <v>68.06349945068359</v>
      </c>
      <c r="AK3" s="94" t="n">
        <v>0</v>
      </c>
      <c r="AL3" s="97" t="n"/>
      <c r="AM3" s="94" t="n">
        <v>0</v>
      </c>
    </row>
    <row r="4" ht="14.35" customHeight="1" s="32">
      <c r="A4" s="98" t="inlineStr">
        <is>
          <t>2023-12-14</t>
        </is>
      </c>
      <c r="B4" s="98" t="inlineStr">
        <is>
          <t>Daub Farm</t>
        </is>
      </c>
      <c r="C4" s="21" t="inlineStr">
        <is>
          <t>US</t>
        </is>
      </c>
      <c r="D4" s="99" t="n">
        <v>0</v>
      </c>
      <c r="E4" s="99" t="n">
        <v>16.92</v>
      </c>
      <c r="F4" s="100" t="n"/>
      <c r="G4" s="99" t="n">
        <v>16.92</v>
      </c>
      <c r="H4" s="101" t="n">
        <v>0.1301538461538462</v>
      </c>
      <c r="I4" s="102" t="n">
        <v>0</v>
      </c>
      <c r="J4" s="101" t="n"/>
      <c r="K4" s="103" t="n">
        <v>0</v>
      </c>
      <c r="L4" s="104" t="n">
        <v>0</v>
      </c>
      <c r="M4" s="101" t="n"/>
      <c r="N4" s="21" t="n">
        <v>0</v>
      </c>
      <c r="O4" s="21" t="n">
        <v>130</v>
      </c>
      <c r="P4" s="104" t="n"/>
      <c r="Q4" s="105" t="n">
        <v>0</v>
      </c>
      <c r="R4" s="106" t="n">
        <v>0.01373842592592593</v>
      </c>
      <c r="S4" s="104" t="n">
        <v>13.36</v>
      </c>
      <c r="T4" s="107" t="n"/>
      <c r="U4" s="101" t="n">
        <v>0.1027692307692308</v>
      </c>
      <c r="V4" s="104" t="n">
        <v>6.084615384615384</v>
      </c>
      <c r="W4" s="104" t="n">
        <v>1.423076923076923</v>
      </c>
      <c r="X4" s="104" t="n">
        <v>0</v>
      </c>
      <c r="Y4" s="104" t="n">
        <v>10.21</v>
      </c>
      <c r="Z4" s="104" t="n">
        <v>3.15</v>
      </c>
      <c r="AA4" s="102" t="n">
        <v>0</v>
      </c>
      <c r="AB4" s="102" t="n">
        <v>12.90771175726928</v>
      </c>
      <c r="AC4" s="102" t="n">
        <v>17.02702702702703</v>
      </c>
      <c r="AD4" s="104" t="n"/>
      <c r="AE4" s="104" t="n">
        <v>3.56</v>
      </c>
      <c r="AF4" s="107" t="n"/>
      <c r="AG4" s="101" t="n">
        <v>0.02738461538461539</v>
      </c>
      <c r="AH4" s="104" t="n">
        <v>3.56</v>
      </c>
      <c r="AI4" s="107" t="n"/>
      <c r="AJ4" s="104" t="n">
        <v>17.03350067138672</v>
      </c>
      <c r="AK4" s="104" t="n">
        <v>0</v>
      </c>
      <c r="AL4" s="107" t="n"/>
      <c r="AM4" s="104" t="n">
        <v>0</v>
      </c>
    </row>
    <row r="5" ht="14.35" customHeight="1" s="32">
      <c r="A5" s="88" t="inlineStr">
        <is>
          <t>2023-12-15</t>
        </is>
      </c>
      <c r="B5" s="88" t="inlineStr">
        <is>
          <t>Daub Farm</t>
        </is>
      </c>
      <c r="C5" s="88" t="inlineStr">
        <is>
          <t>US</t>
        </is>
      </c>
      <c r="D5" s="89" t="n">
        <v>0</v>
      </c>
      <c r="E5" s="89" t="n">
        <v>17.81</v>
      </c>
      <c r="F5" s="90" t="n"/>
      <c r="G5" s="89" t="n">
        <v>17.81</v>
      </c>
      <c r="H5" s="91" t="n">
        <v>0.1245454545454545</v>
      </c>
      <c r="I5" s="92" t="n">
        <v>0</v>
      </c>
      <c r="J5" s="91" t="n"/>
      <c r="K5" s="93" t="n">
        <v>0</v>
      </c>
      <c r="L5" s="94" t="n">
        <v>0</v>
      </c>
      <c r="M5" s="91" t="n"/>
      <c r="N5" s="15" t="n">
        <v>0</v>
      </c>
      <c r="O5" s="15" t="n">
        <v>143</v>
      </c>
      <c r="P5" s="94" t="n"/>
      <c r="Q5" s="95" t="n">
        <v>0</v>
      </c>
      <c r="R5" s="96" t="n">
        <v>0.01246527777777778</v>
      </c>
      <c r="S5" s="94" t="n">
        <v>15.29</v>
      </c>
      <c r="T5" s="97" t="n"/>
      <c r="U5" s="91" t="n">
        <v>0.1069230769230769</v>
      </c>
      <c r="V5" s="94" t="n">
        <v>4.951048951048951</v>
      </c>
      <c r="W5" s="94" t="n">
        <v>1.433566433566434</v>
      </c>
      <c r="X5" s="94" t="n">
        <v>0</v>
      </c>
      <c r="Y5" s="94" t="n">
        <v>11.12</v>
      </c>
      <c r="Z5" s="94" t="n">
        <v>4.17</v>
      </c>
      <c r="AA5" s="92" t="n">
        <v>0</v>
      </c>
      <c r="AB5" s="92" t="n">
        <v>15.70621468926554</v>
      </c>
      <c r="AC5" s="92" t="n">
        <v>20.34146341463415</v>
      </c>
      <c r="AD5" s="94" t="n"/>
      <c r="AE5" s="94" t="n">
        <v>2.52</v>
      </c>
      <c r="AF5" s="97" t="n"/>
      <c r="AG5" s="91" t="n">
        <v>0.01762237762237762</v>
      </c>
      <c r="AH5" s="94" t="n">
        <v>2.52</v>
      </c>
      <c r="AI5" s="97" t="n"/>
      <c r="AJ5" s="94" t="n">
        <v>14.56649971008301</v>
      </c>
      <c r="AK5" s="94" t="n">
        <v>0</v>
      </c>
      <c r="AL5" s="97" t="n"/>
      <c r="AM5" s="94" t="n">
        <v>0</v>
      </c>
    </row>
    <row r="6" ht="14.35" customHeight="1" s="32">
      <c r="A6" s="98" t="inlineStr">
        <is>
          <t>2023-12-16</t>
        </is>
      </c>
      <c r="B6" s="98" t="inlineStr">
        <is>
          <t>Daub Farm</t>
        </is>
      </c>
      <c r="C6" s="21" t="inlineStr">
        <is>
          <t>US</t>
        </is>
      </c>
      <c r="D6" s="99" t="n">
        <v>0</v>
      </c>
      <c r="E6" s="99" t="n">
        <v>22.09</v>
      </c>
      <c r="F6" s="100" t="n"/>
      <c r="G6" s="99" t="n">
        <v>22.09</v>
      </c>
      <c r="H6" s="101" t="n">
        <v>0.1636296296296296</v>
      </c>
      <c r="I6" s="102" t="n">
        <v>0</v>
      </c>
      <c r="J6" s="101" t="n">
        <v>0</v>
      </c>
      <c r="K6" s="103" t="n">
        <v>0</v>
      </c>
      <c r="L6" s="104" t="n">
        <v>0</v>
      </c>
      <c r="M6" s="101" t="n"/>
      <c r="N6" s="21" t="n">
        <v>2</v>
      </c>
      <c r="O6" s="21" t="n">
        <v>135</v>
      </c>
      <c r="P6" s="104" t="n">
        <v>67.5</v>
      </c>
      <c r="Q6" s="105" t="n">
        <v>2</v>
      </c>
      <c r="R6" s="106" t="n">
        <v>0.01134259259259259</v>
      </c>
      <c r="S6" s="104" t="n">
        <v>12.64</v>
      </c>
      <c r="T6" s="107" t="n"/>
      <c r="U6" s="101" t="n">
        <v>0.09362962962962963</v>
      </c>
      <c r="V6" s="104" t="n">
        <v>4.592592592592593</v>
      </c>
      <c r="W6" s="104" t="n">
        <v>1.325925925925926</v>
      </c>
      <c r="X6" s="104" t="n">
        <v>0</v>
      </c>
      <c r="Y6" s="104" t="n">
        <v>9.16</v>
      </c>
      <c r="Z6" s="104" t="n">
        <v>3.48</v>
      </c>
      <c r="AA6" s="102" t="n">
        <v>0</v>
      </c>
      <c r="AB6" s="102" t="n">
        <v>14.7741935483871</v>
      </c>
      <c r="AC6" s="102" t="n">
        <v>19.44134078212291</v>
      </c>
      <c r="AD6" s="104" t="n"/>
      <c r="AE6" s="104" t="n">
        <v>9.449999999999999</v>
      </c>
      <c r="AF6" s="107" t="n"/>
      <c r="AG6" s="101" t="n">
        <v>0.06999999999999999</v>
      </c>
      <c r="AH6" s="104" t="n">
        <v>9.449999999999999</v>
      </c>
      <c r="AI6" s="107" t="n"/>
      <c r="AJ6" s="104" t="n">
        <v>52.20989990234375</v>
      </c>
      <c r="AK6" s="104" t="n">
        <v>0</v>
      </c>
      <c r="AL6" s="107" t="n"/>
      <c r="AM6" s="104" t="n">
        <v>0</v>
      </c>
    </row>
    <row r="7" ht="14.35" customHeight="1" s="32">
      <c r="A7" s="88" t="inlineStr">
        <is>
          <t>2023-12-17</t>
        </is>
      </c>
      <c r="B7" s="88" t="inlineStr">
        <is>
          <t>Daub Farm</t>
        </is>
      </c>
      <c r="C7" s="15" t="inlineStr">
        <is>
          <t>US</t>
        </is>
      </c>
      <c r="D7" s="89" t="n">
        <v>0</v>
      </c>
      <c r="E7" s="89" t="n">
        <v>23.56</v>
      </c>
      <c r="F7" s="90" t="n"/>
      <c r="G7" s="89" t="n">
        <v>23.56</v>
      </c>
      <c r="H7" s="91" t="n">
        <v>0.1745185185185185</v>
      </c>
      <c r="I7" s="92" t="n">
        <v>0</v>
      </c>
      <c r="J7" s="91" t="n">
        <v>0</v>
      </c>
      <c r="K7" s="93" t="n">
        <v>0</v>
      </c>
      <c r="L7" s="94" t="n">
        <v>0</v>
      </c>
      <c r="M7" s="91" t="n"/>
      <c r="N7" s="15" t="n">
        <v>1</v>
      </c>
      <c r="O7" s="15" t="n">
        <v>135</v>
      </c>
      <c r="P7" s="94" t="n">
        <v>135</v>
      </c>
      <c r="Q7" s="95" t="n">
        <v>1</v>
      </c>
      <c r="R7" s="96" t="n">
        <v>0.01309027777777778</v>
      </c>
      <c r="S7" s="94" t="n">
        <v>17.15</v>
      </c>
      <c r="T7" s="97" t="n"/>
      <c r="U7" s="91" t="n">
        <v>0.127037037037037</v>
      </c>
      <c r="V7" s="94" t="n">
        <v>6.096296296296297</v>
      </c>
      <c r="W7" s="94" t="n">
        <v>1.42962962962963</v>
      </c>
      <c r="X7" s="94" t="n">
        <v>0</v>
      </c>
      <c r="Y7" s="94" t="n">
        <v>13.87</v>
      </c>
      <c r="Z7" s="94" t="n">
        <v>3.28</v>
      </c>
      <c r="AA7" s="92" t="n">
        <v>0</v>
      </c>
      <c r="AB7" s="92" t="n">
        <v>16.85297691373025</v>
      </c>
      <c r="AC7" s="92" t="n">
        <v>16.99481865284974</v>
      </c>
      <c r="AD7" s="94" t="n"/>
      <c r="AE7" s="94" t="n">
        <v>6.41</v>
      </c>
      <c r="AF7" s="97" t="n"/>
      <c r="AG7" s="91" t="n">
        <v>0.04748148148148149</v>
      </c>
      <c r="AH7" s="94" t="n">
        <v>6.41</v>
      </c>
      <c r="AI7" s="97" t="n"/>
      <c r="AJ7" s="94" t="n">
        <v>43.31079864501953</v>
      </c>
      <c r="AK7" s="94" t="n">
        <v>0</v>
      </c>
      <c r="AL7" s="97" t="n"/>
      <c r="AM7" s="94" t="n">
        <v>0</v>
      </c>
    </row>
    <row r="8" ht="14.35" customFormat="1" customHeight="1" s="55">
      <c r="A8" s="108" t="inlineStr">
        <is>
          <t>2023-12-18</t>
        </is>
      </c>
      <c r="B8" s="108" t="inlineStr">
        <is>
          <t>Daub Farm</t>
        </is>
      </c>
      <c r="C8" s="47" t="inlineStr">
        <is>
          <t>US</t>
        </is>
      </c>
      <c r="D8" s="109" t="n">
        <v>0</v>
      </c>
      <c r="E8" s="109" t="n">
        <v>16.8</v>
      </c>
      <c r="F8" s="110" t="n"/>
      <c r="G8" s="109" t="n">
        <v>16.8</v>
      </c>
      <c r="H8" s="111" t="n">
        <v>0.1292307692307692</v>
      </c>
      <c r="I8" s="112" t="n">
        <v>0</v>
      </c>
      <c r="J8" s="111" t="n">
        <v>0</v>
      </c>
      <c r="K8" s="113" t="n">
        <v>0</v>
      </c>
      <c r="L8" s="114" t="n">
        <v>0</v>
      </c>
      <c r="M8" s="111" t="n"/>
      <c r="N8" s="47" t="n">
        <v>2</v>
      </c>
      <c r="O8" s="47" t="n">
        <v>130</v>
      </c>
      <c r="P8" s="114" t="n">
        <v>65</v>
      </c>
      <c r="Q8" s="115" t="n">
        <v>2</v>
      </c>
      <c r="R8" s="116" t="n">
        <v>0.01324074074074074</v>
      </c>
      <c r="S8" s="114" t="n">
        <v>13.45</v>
      </c>
      <c r="T8" s="117" t="n"/>
      <c r="U8" s="111" t="n">
        <v>0.1034615384615385</v>
      </c>
      <c r="V8" s="114" t="n">
        <v>5.3</v>
      </c>
      <c r="W8" s="114" t="n">
        <v>1.476923076923077</v>
      </c>
      <c r="X8" s="114" t="n">
        <v>0</v>
      </c>
      <c r="Y8" s="114" t="n">
        <v>10</v>
      </c>
      <c r="Z8" s="114" t="n">
        <v>3.45</v>
      </c>
      <c r="AA8" s="112" t="n">
        <v>0</v>
      </c>
      <c r="AB8" s="112" t="n">
        <v>14.51378809869376</v>
      </c>
      <c r="AC8" s="112" t="n">
        <v>17.96875</v>
      </c>
      <c r="AD8" s="114" t="n"/>
      <c r="AE8" s="114" t="n">
        <v>3.35</v>
      </c>
      <c r="AF8" s="117" t="n"/>
      <c r="AG8" s="111" t="n">
        <v>0.02576923076923077</v>
      </c>
      <c r="AH8" s="114" t="n">
        <v>3.35</v>
      </c>
      <c r="AI8" s="117" t="n"/>
      <c r="AJ8" s="114" t="n">
        <v>20.67900085449219</v>
      </c>
      <c r="AK8" s="114" t="n">
        <v>0</v>
      </c>
      <c r="AL8" s="117" t="n"/>
      <c r="AM8" s="114" t="n">
        <v>0</v>
      </c>
    </row>
    <row r="9" ht="12.4" customFormat="1" customHeight="1" s="56">
      <c r="A9" s="56" t="inlineStr">
        <is>
          <t>2023-12-19</t>
        </is>
      </c>
      <c r="B9" s="56" t="inlineStr">
        <is>
          <t>Daub Farm</t>
        </is>
      </c>
      <c r="C9" s="56" t="inlineStr">
        <is>
          <t>US</t>
        </is>
      </c>
      <c r="D9" s="57" t="n">
        <v>0</v>
      </c>
      <c r="E9" s="56" t="n">
        <v>15.26</v>
      </c>
      <c r="F9" s="118" t="n"/>
      <c r="G9" s="119" t="n">
        <v>15.26</v>
      </c>
      <c r="H9" s="120" t="n">
        <v>0.1182945736434108</v>
      </c>
      <c r="I9" s="56" t="n">
        <v>0</v>
      </c>
      <c r="J9" s="120" t="n">
        <v>0</v>
      </c>
      <c r="K9" s="56" t="n">
        <v>0</v>
      </c>
      <c r="L9" s="121" t="n">
        <v>0</v>
      </c>
      <c r="M9" s="120" t="n"/>
      <c r="N9" s="56" t="n">
        <v>1</v>
      </c>
      <c r="O9" s="56" t="n">
        <v>129</v>
      </c>
      <c r="P9" s="121" t="n">
        <v>129</v>
      </c>
      <c r="Q9" s="56" t="n">
        <v>1</v>
      </c>
      <c r="R9" s="122" t="n">
        <v>0.01030092592592593</v>
      </c>
      <c r="S9" s="56" t="n">
        <v>14.22</v>
      </c>
      <c r="T9" s="66" t="n"/>
      <c r="U9" s="120" t="n">
        <v>0.1102325581395349</v>
      </c>
      <c r="V9" s="121" t="n">
        <v>4.775193798449612</v>
      </c>
      <c r="W9" s="121" t="n">
        <v>1.302325581395349</v>
      </c>
      <c r="X9" s="121" t="n">
        <v>0</v>
      </c>
      <c r="Y9" s="56" t="n">
        <v>10.77</v>
      </c>
      <c r="Z9" s="56" t="n">
        <v>3.45</v>
      </c>
      <c r="AA9" s="123" t="n">
        <v>0</v>
      </c>
      <c r="AB9" s="123" t="n">
        <v>17.48376623376623</v>
      </c>
      <c r="AC9" s="123" t="n">
        <v>20.53571428571428</v>
      </c>
      <c r="AD9" s="0" t="n"/>
      <c r="AE9" s="56" t="n">
        <v>1.04</v>
      </c>
      <c r="AF9" s="66" t="n"/>
      <c r="AG9" s="120" t="n">
        <v>0.008062015503875969</v>
      </c>
      <c r="AH9" s="56" t="n">
        <v>1.04</v>
      </c>
      <c r="AI9" s="66" t="n"/>
      <c r="AJ9" s="121" t="n">
        <v>6.5</v>
      </c>
      <c r="AK9" s="56" t="n">
        <v>0</v>
      </c>
      <c r="AL9" s="66" t="n"/>
      <c r="AM9" s="121" t="n">
        <v>0</v>
      </c>
    </row>
  </sheetData>
  <pageMargins left="0.75" right="0.75" top="0.2689999938011169" bottom="0.268999993801116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2023-10-11T07:59:34Z</dcterms:created>
  <dcterms:modified xmlns:dcterms="http://purl.org/dc/terms/" xmlns:xsi="http://www.w3.org/2001/XMLSchema-instance" xsi:type="dcterms:W3CDTF">2023-10-16T08:30:12Z</dcterms:modified>
  <cp:lastModifiedBy>唐以乐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1f857f50-2c12-401e-9a87-ab6f920447a2</vt:lpwstr>
  </property>
</Properties>
</file>