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imili\BI_robot\"/>
    </mc:Choice>
  </mc:AlternateContent>
  <xr:revisionPtr revIDLastSave="0" documentId="13_ncr:1_{0FE3CEDC-5B6C-4647-9FCC-919582E43E93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98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  <c r="P98" i="1"/>
  <c r="I98" i="1"/>
  <c r="O98" i="1"/>
  <c r="Q98" i="1" s="1"/>
  <c r="M98" i="1"/>
  <c r="N98" i="1" s="1"/>
  <c r="J98" i="1"/>
  <c r="E98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2" i="1"/>
  <c r="H2" i="1" s="1"/>
  <c r="F98" i="1" l="1"/>
  <c r="H98" i="1" s="1"/>
</calcChain>
</file>

<file path=xl/sharedStrings.xml><?xml version="1.0" encoding="utf-8"?>
<sst xmlns="http://schemas.openxmlformats.org/spreadsheetml/2006/main" count="306" uniqueCount="116">
  <si>
    <t>date</t>
  </si>
  <si>
    <t>appname</t>
  </si>
  <si>
    <t>country</t>
  </si>
  <si>
    <t>总支出</t>
  </si>
  <si>
    <t>总收入</t>
  </si>
  <si>
    <t>总ROI</t>
  </si>
  <si>
    <t>新增成本</t>
  </si>
  <si>
    <t>广告收入</t>
  </si>
  <si>
    <t>广告ROI</t>
  </si>
  <si>
    <t>付费ROI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</si>
  <si>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</si>
  <si>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</si>
  <si>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</si>
  <si>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</si>
  <si>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</si>
  <si>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</si>
  <si>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</si>
  <si>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</si>
  <si>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</si>
  <si>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</si>
  <si>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</si>
  <si>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</si>
  <si>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</si>
  <si>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</si>
  <si>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</si>
  <si>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</si>
  <si>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</si>
  <si>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</si>
  <si>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</si>
  <si>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</si>
  <si>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</si>
  <si>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</si>
  <si>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</si>
  <si>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</si>
  <si>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</si>
  <si>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</si>
  <si>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</si>
  <si>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</si>
  <si>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</si>
  <si>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</si>
  <si>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</si>
  <si>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</si>
  <si>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</si>
  <si>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</si>
  <si>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</si>
  <si>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</si>
  <si>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</si>
  <si>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</si>
  <si>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</si>
  <si>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</si>
  <si>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</si>
  <si>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</si>
  <si>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</si>
  <si>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</si>
  <si>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</si>
  <si>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</si>
  <si>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</si>
  <si>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</si>
  <si>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</si>
  <si>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</si>
  <si>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</si>
  <si>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</si>
  <si>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</si>
  <si>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</si>
  <si>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</si>
  <si>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</si>
  <si>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</si>
  <si>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</si>
  <si>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</si>
  <si>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</si>
  <si>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</si>
  <si>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</si>
  <si>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</si>
  <si>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</si>
  <si>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</si>
  <si>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</si>
  <si>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</si>
  <si>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</si>
  <si>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</si>
  <si>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</si>
  <si>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</si>
  <si>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</si>
  <si>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</si>
  <si>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</si>
  <si>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</si>
  <si>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</si>
  <si>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</si>
  <si>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</si>
  <si>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</si>
  <si>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</si>
  <si>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</si>
  <si>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</si>
  <si>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</si>
  <si>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</si>
  <si>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</si>
  <si>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</si>
  <si>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</si>
  <si>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</si>
  <si>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</si>
  <si>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</si>
  <si>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</si>
  <si>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</si>
  <si>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</si>
  <si>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</si>
  <si>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</si>
  <si>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</si>
  <si>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Tales of Brave ios</t>
  </si>
  <si>
    <t>all</t>
  </si>
  <si>
    <t>新增</t>
    <phoneticPr fontId="3" type="noConversion"/>
  </si>
  <si>
    <t>cp分成</t>
    <phoneticPr fontId="3" type="noConversion"/>
  </si>
  <si>
    <t>活跃</t>
    <phoneticPr fontId="3" type="noConversion"/>
  </si>
  <si>
    <t>人均时长</t>
    <phoneticPr fontId="3" type="noConversion"/>
  </si>
  <si>
    <t>内购金额</t>
    <phoneticPr fontId="3" type="noConversion"/>
  </si>
  <si>
    <t>内购用户数</t>
    <phoneticPr fontId="3" type="noConversion"/>
  </si>
  <si>
    <t>汇总（包含前期榜单支出）</t>
    <phoneticPr fontId="3" type="noConversion"/>
  </si>
  <si>
    <t>毛利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</si>
</sst>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9" fontId="0" fillId="0" borderId="0" xfId="1" applyFont="1" applyAlignmen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2">
    <cellStyle name="百分比" xfId="1" builtinId="5"/>
    <cellStyle name="常规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2"/>
        <scheme val="minor"/>
      </font>
      <alignment horizontal="general" vertical="bottom" textRotation="0" wrapText="0" indent="0" justifyLastLine="0" shrinkToFit="0" readingOrder="0"/>
    </dxf>
    <dxf>
      <numFmt numFmtId="176" formatCode="[$-F400]h:mm:ss\ AM/PM"/>
    </dxf>
    <dxf>
      <numFmt numFmtId="177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2"/>
        <scheme val="minor"/>
      </font>
      <alignment horizontal="general" vertical="bottom" textRotation="0" wrapText="0" indent="0" justifyLastLine="0" shrinkToFit="0" readingOrder="0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BA5CF-2C0B-4AC7-92E7-C2A688942AC9}" name="表1" displayName="表1" ref="A1:Q98" totalsRowShown="0" headerRowDxfId="0" headerRowBorderDxfId="10" tableBorderDxfId="11">
  <autoFilter ref="A1:Q98" xr:uid="{ACABA5CF-2C0B-4AC7-92E7-C2A688942AC9}"/>
  <tableColumns count="17">
    <tableColumn id="1" xr3:uid="{10461BC5-F5FA-453F-B37A-A6BDF48AD58C}" name="date"/>
    <tableColumn id="2" xr3:uid="{D0B4E202-4CCC-4897-8378-6B8122E4D957}" name="appname"/>
    <tableColumn id="3" xr3:uid="{702B06DF-A222-444F-BB98-AABA3F03CBBD}" name="country"/>
    <tableColumn id="4" xr3:uid="{1F3106B9-1C27-4038-BDE8-003E544589B6}" name="总支出" dataDxfId="9"/>
    <tableColumn id="5" xr3:uid="{7E39D925-0917-4EF9-B44C-B782C33853B5}" name="总收入" dataDxfId="8"/>
    <tableColumn id="6" xr3:uid="{FD717F46-4965-418D-90FF-954713252B94}" name="cp分成" dataDxfId="7"/>
    <tableColumn id="7" xr3:uid="{037AE917-6EE2-45DD-816A-61E4510C0E45}" name="毛利" dataDxfId="6">
      <calculatedColumnFormula>E2-F2-D2</calculatedColumnFormula>
    </tableColumn>
    <tableColumn id="8" xr3:uid="{0201F5FE-4119-42ED-AB24-33A682761799}" name="总ROI" dataDxfId="5" dataCellStyle="百分比">
      <calculatedColumnFormula>(E2-F2)/D2</calculatedColumnFormula>
    </tableColumn>
    <tableColumn id="9" xr3:uid="{D1E15EA1-3496-4A24-B048-6205245B5C2C}" name="新增成本" dataDxfId="4"/>
    <tableColumn id="10" xr3:uid="{DA3649A9-187E-4AA1-A27E-9BE16F5C8998}" name="新增"/>
    <tableColumn id="11" xr3:uid="{4477AEBE-EA66-4085-86F6-3D93D704B019}" name="活跃"/>
    <tableColumn id="12" xr3:uid="{89A5EEA9-F8C1-42F8-B955-3A0C48F3A402}" name="人均时长" dataDxfId="3"/>
    <tableColumn id="13" xr3:uid="{B7AC3826-7ABB-4637-8AF7-F8F1F970EDBB}" name="广告收入"/>
    <tableColumn id="14" xr3:uid="{4DB05AAA-6B02-4698-AC7E-3AA5312AEA3A}" name="广告ROI" dataDxfId="2" dataCellStyle="百分比"/>
    <tableColumn id="15" xr3:uid="{A93BA89A-BC86-44B4-8218-831636B72D46}" name="内购金额"/>
    <tableColumn id="16" xr3:uid="{408944BB-EDA7-445C-B0C1-5A6802B1C316}" name="内购用户数"/>
    <tableColumn id="17" xr3:uid="{4061DF2A-787C-4E14-BA84-BE34A43347A3}" name="付费ROI" dataDxfId="1" dataCellStyle="百分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abSelected="1" workbookViewId="0">
      <selection sqref="A1:Q98"/>
    </sheetView>
  </sheetViews>
  <sheetFormatPr defaultRowHeight="13.5" x14ac:dyDescent="0.3"/>
  <cols>
    <col min="1" max="1" width="14.19921875" customWidth="1"/>
    <col min="2" max="2" width="22.3984375" customWidth="1"/>
    <col min="3" max="3" width="10.06640625" customWidth="1"/>
    <col min="4" max="5" width="11.1328125" style="3" bestFit="1" customWidth="1"/>
    <col min="6" max="6" width="10.06640625" style="3" bestFit="1" customWidth="1"/>
    <col min="7" max="7" width="10.6640625" style="3" customWidth="1"/>
    <col min="8" max="8" width="9.06640625" style="1"/>
    <col min="9" max="9" width="10.59765625" style="3" customWidth="1"/>
    <col min="12" max="12" width="10.59765625" style="2" customWidth="1"/>
    <col min="13" max="13" width="10.59765625" customWidth="1"/>
    <col min="14" max="14" width="9.796875" style="1" customWidth="1"/>
    <col min="15" max="15" width="10.59765625" customWidth="1"/>
    <col min="16" max="16" width="12.59765625" customWidth="1"/>
    <col min="17" max="17" width="9.796875" style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109</v>
      </c>
      <c r="G1" s="6" t="s">
        <v>115</v>
      </c>
      <c r="H1" s="7" t="s">
        <v>5</v>
      </c>
      <c r="I1" s="6" t="s">
        <v>6</v>
      </c>
      <c r="J1" s="5" t="s">
        <v>108</v>
      </c>
      <c r="K1" s="5" t="s">
        <v>110</v>
      </c>
      <c r="L1" s="8" t="s">
        <v>111</v>
      </c>
      <c r="M1" s="5" t="s">
        <v>7</v>
      </c>
      <c r="N1" s="7" t="s">
        <v>8</v>
      </c>
      <c r="O1" s="5" t="s">
        <v>112</v>
      </c>
      <c r="P1" s="5" t="s">
        <v>113</v>
      </c>
      <c r="Q1" s="7" t="s">
        <v>9</v>
      </c>
    </row>
    <row r="2" spans="1:17" x14ac:dyDescent="0.3">
      <c r="A2" t="s">
        <v>10</v>
      </c>
      <c r="B2" t="s">
        <v>106</v>
      </c>
      <c r="C2" t="s">
        <v>107</v>
      </c>
      <c r="D2" s="3">
        <v>1745.0965805053711</v>
      </c>
      <c r="E2" s="3">
        <v>903.36700000000042</v>
      </c>
      <c r="F2" s="3">
        <f>E2*0.12</f>
        <v>108.40404000000005</v>
      </c>
      <c r="G2" s="3">
        <f>E2-F2-D2</f>
        <v>-950.13362050537069</v>
      </c>
      <c r="H2" s="1">
        <f>(E2-F2)/D2</f>
        <v>0.45554095336647971</v>
      </c>
      <c r="I2" s="3">
        <v>2.2781939693281612</v>
      </c>
      <c r="J2">
        <v>766</v>
      </c>
      <c r="K2">
        <v>1245</v>
      </c>
      <c r="L2" s="2">
        <v>4.2361111111111113E-2</v>
      </c>
      <c r="M2">
        <v>240.25</v>
      </c>
      <c r="N2" s="1">
        <v>0.13767146339283121</v>
      </c>
      <c r="O2">
        <v>663.11700000000042</v>
      </c>
      <c r="P2">
        <v>61</v>
      </c>
      <c r="Q2" s="1">
        <v>0.37998871088725938</v>
      </c>
    </row>
    <row r="3" spans="1:17" x14ac:dyDescent="0.3">
      <c r="A3" t="s">
        <v>11</v>
      </c>
      <c r="B3" t="s">
        <v>106</v>
      </c>
      <c r="C3" t="s">
        <v>107</v>
      </c>
      <c r="D3" s="3">
        <v>13979.37135314941</v>
      </c>
      <c r="E3" s="3">
        <v>4286.7850000000053</v>
      </c>
      <c r="F3" s="3">
        <f t="shared" ref="F3:F66" si="0">E3*0.12</f>
        <v>514.41420000000062</v>
      </c>
      <c r="G3" s="3">
        <f t="shared" ref="G3:G66" si="1">E3-F3-D3</f>
        <v>-10207.000553149406</v>
      </c>
      <c r="H3" s="1">
        <f t="shared" ref="H3:H66" si="2">(E3-F3)/D3</f>
        <v>0.26985267825724707</v>
      </c>
      <c r="I3" s="3">
        <v>0.63929077391271849</v>
      </c>
      <c r="J3">
        <v>21867</v>
      </c>
      <c r="K3">
        <v>21539</v>
      </c>
      <c r="L3" s="2">
        <v>6.4699074074074077E-3</v>
      </c>
      <c r="M3">
        <v>731.31</v>
      </c>
      <c r="N3" s="1">
        <v>5.2313511210591253E-2</v>
      </c>
      <c r="O3">
        <v>3555.4750000000049</v>
      </c>
      <c r="P3">
        <v>197</v>
      </c>
      <c r="Q3" s="1">
        <v>0.25433725953628039</v>
      </c>
    </row>
    <row r="4" spans="1:17" x14ac:dyDescent="0.3">
      <c r="A4" t="s">
        <v>12</v>
      </c>
      <c r="B4" t="s">
        <v>106</v>
      </c>
      <c r="C4" t="s">
        <v>107</v>
      </c>
      <c r="D4" s="3">
        <v>16518.677764892582</v>
      </c>
      <c r="E4" s="3">
        <v>8934.3119999999817</v>
      </c>
      <c r="F4" s="3">
        <f t="shared" si="0"/>
        <v>1072.1174399999977</v>
      </c>
      <c r="G4" s="3">
        <f t="shared" si="1"/>
        <v>-8656.4832048925982</v>
      </c>
      <c r="H4" s="1">
        <f t="shared" si="2"/>
        <v>0.47595786248156224</v>
      </c>
      <c r="I4" s="3">
        <v>0.83778859689063134</v>
      </c>
      <c r="J4">
        <v>19717</v>
      </c>
      <c r="K4">
        <v>21351</v>
      </c>
      <c r="L4" s="2">
        <v>1.376157407407407E-2</v>
      </c>
      <c r="M4">
        <v>1461.77</v>
      </c>
      <c r="N4" s="1">
        <v>8.8491949586105748E-2</v>
      </c>
      <c r="O4">
        <v>7472.5419999999822</v>
      </c>
      <c r="P4">
        <v>496</v>
      </c>
      <c r="Q4" s="1">
        <v>0.45236925777930609</v>
      </c>
    </row>
    <row r="5" spans="1:17" x14ac:dyDescent="0.3">
      <c r="A5" t="s">
        <v>13</v>
      </c>
      <c r="B5" t="s">
        <v>106</v>
      </c>
      <c r="C5" t="s">
        <v>107</v>
      </c>
      <c r="D5" s="3">
        <v>12876.712982177731</v>
      </c>
      <c r="E5" s="3">
        <v>8754.4679999999771</v>
      </c>
      <c r="F5" s="3">
        <f t="shared" si="0"/>
        <v>1050.5361599999972</v>
      </c>
      <c r="G5" s="3">
        <f t="shared" si="1"/>
        <v>-5172.7811421777506</v>
      </c>
      <c r="H5" s="1">
        <f t="shared" si="2"/>
        <v>0.59828403806645059</v>
      </c>
      <c r="I5" s="3">
        <v>1.0371899300988909</v>
      </c>
      <c r="J5">
        <v>12415</v>
      </c>
      <c r="K5">
        <v>15849</v>
      </c>
      <c r="L5" s="2">
        <v>2.0914351851851851E-2</v>
      </c>
      <c r="M5">
        <v>1411.72</v>
      </c>
      <c r="N5" s="1">
        <v>0.1096335689048842</v>
      </c>
      <c r="O5">
        <v>7342.7479999999769</v>
      </c>
      <c r="P5">
        <v>524</v>
      </c>
      <c r="Q5" s="1">
        <v>0.57023465617062763</v>
      </c>
    </row>
    <row r="6" spans="1:17" x14ac:dyDescent="0.3">
      <c r="A6" t="s">
        <v>14</v>
      </c>
      <c r="B6" t="s">
        <v>106</v>
      </c>
      <c r="C6" t="s">
        <v>107</v>
      </c>
      <c r="D6" s="3">
        <v>12273.589220047001</v>
      </c>
      <c r="E6" s="3">
        <v>10037.75400000001</v>
      </c>
      <c r="F6" s="3">
        <f t="shared" si="0"/>
        <v>1204.530480000001</v>
      </c>
      <c r="G6" s="3">
        <f t="shared" si="1"/>
        <v>-3440.3657000469921</v>
      </c>
      <c r="H6" s="1">
        <f t="shared" si="2"/>
        <v>0.71969359261040855</v>
      </c>
      <c r="I6" s="3">
        <v>0.87699815791689872</v>
      </c>
      <c r="J6">
        <v>13995</v>
      </c>
      <c r="K6">
        <v>17795</v>
      </c>
      <c r="L6" s="2">
        <v>2.1365740740740741E-2</v>
      </c>
      <c r="M6">
        <v>1508.87</v>
      </c>
      <c r="N6" s="1">
        <v>0.1229363288071834</v>
      </c>
      <c r="O6">
        <v>8528.8840000000109</v>
      </c>
      <c r="P6">
        <v>513</v>
      </c>
      <c r="Q6" s="1">
        <v>0.6948972991591903</v>
      </c>
    </row>
    <row r="7" spans="1:17" x14ac:dyDescent="0.3">
      <c r="A7" t="s">
        <v>15</v>
      </c>
      <c r="B7" t="s">
        <v>106</v>
      </c>
      <c r="C7" t="s">
        <v>107</v>
      </c>
      <c r="D7" s="3">
        <v>8171.4807586669922</v>
      </c>
      <c r="E7" s="3">
        <v>11655.097999999991</v>
      </c>
      <c r="F7" s="3">
        <f t="shared" si="0"/>
        <v>1398.6117599999989</v>
      </c>
      <c r="G7" s="3">
        <f t="shared" si="1"/>
        <v>2085.0054813329989</v>
      </c>
      <c r="H7" s="1">
        <f t="shared" si="2"/>
        <v>1.2551563838807991</v>
      </c>
      <c r="I7" s="3">
        <v>1.787679010865673</v>
      </c>
      <c r="J7">
        <v>4571</v>
      </c>
      <c r="K7">
        <v>9425</v>
      </c>
      <c r="L7" s="2">
        <v>3.9282407407407398E-2</v>
      </c>
      <c r="M7">
        <v>1126.02</v>
      </c>
      <c r="N7" s="1">
        <v>0.13779877029089241</v>
      </c>
      <c r="O7">
        <v>10529.07799999999</v>
      </c>
      <c r="P7">
        <v>479</v>
      </c>
      <c r="Q7" s="1">
        <v>1.288515302300925</v>
      </c>
    </row>
    <row r="8" spans="1:17" x14ac:dyDescent="0.3">
      <c r="A8" t="s">
        <v>16</v>
      </c>
      <c r="B8" t="s">
        <v>106</v>
      </c>
      <c r="C8" t="s">
        <v>107</v>
      </c>
      <c r="D8" s="3">
        <v>3593.3085632324219</v>
      </c>
      <c r="E8" s="3">
        <v>7848.0829999999914</v>
      </c>
      <c r="F8" s="3">
        <f t="shared" si="0"/>
        <v>941.76995999999895</v>
      </c>
      <c r="G8" s="3">
        <f t="shared" si="1"/>
        <v>3313.0044767675708</v>
      </c>
      <c r="H8" s="1">
        <f t="shared" si="2"/>
        <v>1.9219927591710357</v>
      </c>
      <c r="I8" s="3">
        <v>3.1997404837332342</v>
      </c>
      <c r="J8">
        <v>1123</v>
      </c>
      <c r="K8">
        <v>5880</v>
      </c>
      <c r="L8" s="2">
        <v>5.6504629629629627E-2</v>
      </c>
      <c r="M8">
        <v>972.62</v>
      </c>
      <c r="N8" s="1">
        <v>0.27067533524731963</v>
      </c>
      <c r="O8">
        <v>6875.4629999999916</v>
      </c>
      <c r="P8">
        <v>430</v>
      </c>
      <c r="Q8" s="1">
        <v>1.9134073456288569</v>
      </c>
    </row>
    <row r="9" spans="1:17" x14ac:dyDescent="0.3">
      <c r="A9" t="s">
        <v>17</v>
      </c>
      <c r="B9" t="s">
        <v>106</v>
      </c>
      <c r="C9" t="s">
        <v>107</v>
      </c>
      <c r="D9" s="3">
        <v>2703.4362106323242</v>
      </c>
      <c r="E9" s="3">
        <v>6263.9659999999967</v>
      </c>
      <c r="F9" s="3">
        <f t="shared" si="0"/>
        <v>751.67591999999956</v>
      </c>
      <c r="G9" s="3">
        <f t="shared" si="1"/>
        <v>2808.8538693676728</v>
      </c>
      <c r="H9" s="1">
        <f t="shared" si="2"/>
        <v>2.0389939508543802</v>
      </c>
      <c r="I9" s="3">
        <v>3.4438677842449992</v>
      </c>
      <c r="J9">
        <v>785</v>
      </c>
      <c r="K9">
        <v>5330</v>
      </c>
      <c r="L9" s="2">
        <v>6.1643518518518521E-2</v>
      </c>
      <c r="M9">
        <v>859.98</v>
      </c>
      <c r="N9" s="1">
        <v>0.31810626661646058</v>
      </c>
      <c r="O9">
        <v>5403.9859999999962</v>
      </c>
      <c r="P9">
        <v>372</v>
      </c>
      <c r="Q9" s="1">
        <v>1.99893231389988</v>
      </c>
    </row>
    <row r="10" spans="1:17" x14ac:dyDescent="0.3">
      <c r="A10" t="s">
        <v>18</v>
      </c>
      <c r="B10" t="s">
        <v>106</v>
      </c>
      <c r="C10" t="s">
        <v>107</v>
      </c>
      <c r="D10" s="3">
        <v>1500.372924804688</v>
      </c>
      <c r="E10" s="3">
        <v>5729.0370000000012</v>
      </c>
      <c r="F10" s="3">
        <f t="shared" si="0"/>
        <v>687.48444000000006</v>
      </c>
      <c r="G10" s="3">
        <f t="shared" si="1"/>
        <v>3541.179635195313</v>
      </c>
      <c r="H10" s="1">
        <f t="shared" si="2"/>
        <v>3.3601996388039916</v>
      </c>
      <c r="I10" s="3">
        <v>2.5258803447890359</v>
      </c>
      <c r="J10">
        <v>594</v>
      </c>
      <c r="K10">
        <v>5101</v>
      </c>
      <c r="L10" s="2">
        <v>5.7766203703703702E-2</v>
      </c>
      <c r="M10">
        <v>792.28</v>
      </c>
      <c r="N10" s="1">
        <v>0.52805538336619595</v>
      </c>
      <c r="O10">
        <v>4936.7570000000014</v>
      </c>
      <c r="P10">
        <v>362</v>
      </c>
      <c r="Q10" s="1">
        <v>3.2903532970928868</v>
      </c>
    </row>
    <row r="11" spans="1:17" x14ac:dyDescent="0.3">
      <c r="A11" t="s">
        <v>19</v>
      </c>
      <c r="B11" t="s">
        <v>106</v>
      </c>
      <c r="C11" t="s">
        <v>107</v>
      </c>
      <c r="D11" s="3">
        <v>1882.133766174316</v>
      </c>
      <c r="E11" s="3">
        <v>5880.1150000000007</v>
      </c>
      <c r="F11" s="3">
        <f t="shared" si="0"/>
        <v>705.61380000000008</v>
      </c>
      <c r="G11" s="3">
        <f t="shared" si="1"/>
        <v>3292.3674338256847</v>
      </c>
      <c r="H11" s="1">
        <f t="shared" si="2"/>
        <v>2.7492738789325553</v>
      </c>
      <c r="I11" s="3">
        <v>2.8778803764133278</v>
      </c>
      <c r="J11">
        <v>654</v>
      </c>
      <c r="K11">
        <v>4761</v>
      </c>
      <c r="L11" s="2">
        <v>5.9270833333333342E-2</v>
      </c>
      <c r="M11">
        <v>824.68</v>
      </c>
      <c r="N11" s="1">
        <v>0.43816226817728798</v>
      </c>
      <c r="O11">
        <v>5055.4350000000004</v>
      </c>
      <c r="P11">
        <v>374</v>
      </c>
      <c r="Q11" s="1">
        <v>2.6860125942460691</v>
      </c>
    </row>
    <row r="12" spans="1:17" x14ac:dyDescent="0.3">
      <c r="A12" t="s">
        <v>20</v>
      </c>
      <c r="B12" t="s">
        <v>106</v>
      </c>
      <c r="C12" t="s">
        <v>107</v>
      </c>
      <c r="D12" s="3">
        <v>1941.3113708496089</v>
      </c>
      <c r="E12" s="3">
        <v>5436.7249999999995</v>
      </c>
      <c r="F12" s="3">
        <f t="shared" si="0"/>
        <v>652.40699999999993</v>
      </c>
      <c r="G12" s="3">
        <f t="shared" si="1"/>
        <v>2843.0066291503904</v>
      </c>
      <c r="H12" s="1">
        <f t="shared" si="2"/>
        <v>2.4644774000917522</v>
      </c>
      <c r="I12" s="3">
        <v>3.151479498132483</v>
      </c>
      <c r="J12">
        <v>616</v>
      </c>
      <c r="K12">
        <v>4849</v>
      </c>
      <c r="L12" s="2">
        <v>6.2754629629629632E-2</v>
      </c>
      <c r="M12">
        <v>878.36</v>
      </c>
      <c r="N12" s="1">
        <v>0.45245704176532398</v>
      </c>
      <c r="O12">
        <v>4558.3649999999989</v>
      </c>
      <c r="P12">
        <v>313</v>
      </c>
      <c r="Q12" s="1">
        <v>2.348085458338939</v>
      </c>
    </row>
    <row r="13" spans="1:17" x14ac:dyDescent="0.3">
      <c r="A13" t="s">
        <v>21</v>
      </c>
      <c r="B13" t="s">
        <v>106</v>
      </c>
      <c r="C13" t="s">
        <v>107</v>
      </c>
      <c r="D13" s="3">
        <v>1349.201370239258</v>
      </c>
      <c r="E13" s="3">
        <v>4500.2010000000037</v>
      </c>
      <c r="F13" s="3">
        <f t="shared" si="0"/>
        <v>540.02412000000038</v>
      </c>
      <c r="G13" s="3">
        <f t="shared" si="1"/>
        <v>2610.9755097607449</v>
      </c>
      <c r="H13" s="1">
        <f t="shared" si="2"/>
        <v>2.9352007545750807</v>
      </c>
      <c r="I13" s="3">
        <v>5.2703178524971008</v>
      </c>
      <c r="J13">
        <v>256</v>
      </c>
      <c r="K13">
        <v>4280</v>
      </c>
      <c r="L13" s="2">
        <v>5.9374999999999997E-2</v>
      </c>
      <c r="M13">
        <v>652</v>
      </c>
      <c r="N13" s="1">
        <v>0.48324884215347258</v>
      </c>
      <c r="O13">
        <v>3848.2010000000041</v>
      </c>
      <c r="P13">
        <v>269</v>
      </c>
      <c r="Q13" s="1">
        <v>2.852206560772756</v>
      </c>
    </row>
    <row r="14" spans="1:17" x14ac:dyDescent="0.3">
      <c r="A14" t="s">
        <v>22</v>
      </c>
      <c r="B14" t="s">
        <v>106</v>
      </c>
      <c r="C14" t="s">
        <v>107</v>
      </c>
      <c r="D14" s="3">
        <v>2994.8479194641109</v>
      </c>
      <c r="E14" s="3">
        <v>4325.6570000000047</v>
      </c>
      <c r="F14" s="3">
        <f t="shared" si="0"/>
        <v>519.07884000000058</v>
      </c>
      <c r="G14" s="3">
        <f t="shared" si="1"/>
        <v>811.73024053589324</v>
      </c>
      <c r="H14" s="1">
        <f t="shared" si="2"/>
        <v>1.2710422239674668</v>
      </c>
      <c r="I14" s="3">
        <v>8.2276041743519546</v>
      </c>
      <c r="J14">
        <v>364</v>
      </c>
      <c r="K14">
        <v>4245</v>
      </c>
      <c r="L14" s="2">
        <v>5.3946759259259257E-2</v>
      </c>
      <c r="M14">
        <v>612.08000000000004</v>
      </c>
      <c r="N14" s="1">
        <v>0.2043776567157119</v>
      </c>
      <c r="O14">
        <v>3713.5770000000048</v>
      </c>
      <c r="P14">
        <v>293</v>
      </c>
      <c r="Q14" s="1">
        <v>1.239988506883682</v>
      </c>
    </row>
    <row r="15" spans="1:17" x14ac:dyDescent="0.3">
      <c r="A15" t="s">
        <v>23</v>
      </c>
      <c r="B15" t="s">
        <v>106</v>
      </c>
      <c r="C15" t="s">
        <v>107</v>
      </c>
      <c r="D15" s="3">
        <v>4574.5745239257813</v>
      </c>
      <c r="E15" s="3">
        <v>4156.3060000000023</v>
      </c>
      <c r="F15" s="3">
        <f t="shared" si="0"/>
        <v>498.75672000000026</v>
      </c>
      <c r="G15" s="3">
        <f t="shared" si="1"/>
        <v>-917.02524392577925</v>
      </c>
      <c r="H15" s="1">
        <f t="shared" si="2"/>
        <v>0.79953868078231416</v>
      </c>
      <c r="I15" s="3">
        <v>10.613862004468171</v>
      </c>
      <c r="J15">
        <v>431</v>
      </c>
      <c r="K15">
        <v>4277</v>
      </c>
      <c r="L15" s="2">
        <v>5.7500000000000002E-2</v>
      </c>
      <c r="M15">
        <v>549.36</v>
      </c>
      <c r="N15" s="1">
        <v>0.1200898569094801</v>
      </c>
      <c r="O15">
        <v>3606.9460000000031</v>
      </c>
      <c r="P15">
        <v>264</v>
      </c>
      <c r="Q15" s="1">
        <v>0.78847682579769518</v>
      </c>
    </row>
    <row r="16" spans="1:17" x14ac:dyDescent="0.3">
      <c r="A16" t="s">
        <v>24</v>
      </c>
      <c r="B16" t="s">
        <v>106</v>
      </c>
      <c r="C16" t="s">
        <v>107</v>
      </c>
      <c r="D16" s="3">
        <v>3904.3844757080078</v>
      </c>
      <c r="E16" s="3">
        <v>3778.092000000001</v>
      </c>
      <c r="F16" s="3">
        <f t="shared" si="0"/>
        <v>453.37104000000011</v>
      </c>
      <c r="G16" s="3">
        <f t="shared" si="1"/>
        <v>-579.6635157080068</v>
      </c>
      <c r="H16" s="1">
        <f t="shared" si="2"/>
        <v>0.85153523703556566</v>
      </c>
      <c r="I16" s="3">
        <v>9.1011293140046803</v>
      </c>
      <c r="J16">
        <v>429</v>
      </c>
      <c r="K16">
        <v>4203</v>
      </c>
      <c r="L16" s="2">
        <v>5.755787037037037E-2</v>
      </c>
      <c r="M16">
        <v>531.94000000000005</v>
      </c>
      <c r="N16" s="1">
        <v>0.13624170552607781</v>
      </c>
      <c r="O16">
        <v>3246.152000000001</v>
      </c>
      <c r="P16">
        <v>250</v>
      </c>
      <c r="Q16" s="1">
        <v>0.8314119729234285</v>
      </c>
    </row>
    <row r="17" spans="1:17" x14ac:dyDescent="0.3">
      <c r="A17" t="s">
        <v>25</v>
      </c>
      <c r="B17" t="s">
        <v>106</v>
      </c>
      <c r="C17" t="s">
        <v>107</v>
      </c>
      <c r="D17" s="3">
        <v>1598.6562118530269</v>
      </c>
      <c r="E17" s="3">
        <v>4123.8610000000017</v>
      </c>
      <c r="F17" s="3">
        <f t="shared" si="0"/>
        <v>494.86332000000016</v>
      </c>
      <c r="G17" s="3">
        <f t="shared" si="1"/>
        <v>2030.3414681469744</v>
      </c>
      <c r="H17" s="1">
        <f t="shared" si="2"/>
        <v>2.2700300746922784</v>
      </c>
      <c r="I17" s="3">
        <v>5.1736446985534874</v>
      </c>
      <c r="J17">
        <v>309</v>
      </c>
      <c r="K17">
        <v>3942</v>
      </c>
      <c r="L17" s="2">
        <v>5.4317129629629632E-2</v>
      </c>
      <c r="M17">
        <v>502.04</v>
      </c>
      <c r="N17" s="1">
        <v>0.31403875096952688</v>
      </c>
      <c r="O17">
        <v>3621.8210000000008</v>
      </c>
      <c r="P17">
        <v>259</v>
      </c>
      <c r="Q17" s="1">
        <v>2.2655408793626068</v>
      </c>
    </row>
    <row r="18" spans="1:17" x14ac:dyDescent="0.3">
      <c r="A18" t="s">
        <v>26</v>
      </c>
      <c r="B18" t="s">
        <v>106</v>
      </c>
      <c r="C18" t="s">
        <v>107</v>
      </c>
      <c r="D18" s="3">
        <v>1634.8565731048579</v>
      </c>
      <c r="E18" s="3">
        <v>3964.2879999999968</v>
      </c>
      <c r="F18" s="3">
        <f t="shared" si="0"/>
        <v>475.71455999999961</v>
      </c>
      <c r="G18" s="3">
        <f t="shared" si="1"/>
        <v>1853.7168668951394</v>
      </c>
      <c r="H18" s="1">
        <f t="shared" si="2"/>
        <v>2.1338712504758934</v>
      </c>
      <c r="I18" s="3">
        <v>4.3022541397496266</v>
      </c>
      <c r="J18">
        <v>380</v>
      </c>
      <c r="K18">
        <v>3920</v>
      </c>
      <c r="L18" s="2">
        <v>6.1365740740740742E-2</v>
      </c>
      <c r="M18">
        <v>550.64</v>
      </c>
      <c r="N18" s="1">
        <v>0.33681242077049312</v>
      </c>
      <c r="O18">
        <v>3413.647999999997</v>
      </c>
      <c r="P18">
        <v>275</v>
      </c>
      <c r="Q18" s="1">
        <v>2.0880412729521129</v>
      </c>
    </row>
    <row r="19" spans="1:17" x14ac:dyDescent="0.3">
      <c r="A19" t="s">
        <v>27</v>
      </c>
      <c r="B19" t="s">
        <v>106</v>
      </c>
      <c r="C19" t="s">
        <v>107</v>
      </c>
      <c r="D19" s="3">
        <v>1930.667552947998</v>
      </c>
      <c r="E19" s="3">
        <v>4001.886999999997</v>
      </c>
      <c r="F19" s="3">
        <f t="shared" si="0"/>
        <v>480.22643999999963</v>
      </c>
      <c r="G19" s="3">
        <f t="shared" si="1"/>
        <v>1590.9930070519995</v>
      </c>
      <c r="H19" s="1">
        <f t="shared" si="2"/>
        <v>1.8240636792298401</v>
      </c>
      <c r="I19" s="3">
        <v>5.1622127084171074</v>
      </c>
      <c r="J19">
        <v>374</v>
      </c>
      <c r="K19">
        <v>3885</v>
      </c>
      <c r="L19" s="2">
        <v>5.9270833333333342E-2</v>
      </c>
      <c r="M19">
        <v>569.08000000000004</v>
      </c>
      <c r="N19" s="1">
        <v>0.2947581519827448</v>
      </c>
      <c r="O19">
        <v>3432.806999999998</v>
      </c>
      <c r="P19">
        <v>296</v>
      </c>
      <c r="Q19" s="1">
        <v>1.7780414835057099</v>
      </c>
    </row>
    <row r="20" spans="1:17" x14ac:dyDescent="0.3">
      <c r="A20" t="s">
        <v>28</v>
      </c>
      <c r="B20" t="s">
        <v>106</v>
      </c>
      <c r="C20" t="s">
        <v>107</v>
      </c>
      <c r="D20" s="3">
        <v>2002.2600402832029</v>
      </c>
      <c r="E20" s="3">
        <v>4241.6679999999969</v>
      </c>
      <c r="F20" s="3">
        <f t="shared" si="0"/>
        <v>509.0001599999996</v>
      </c>
      <c r="G20" s="3">
        <f t="shared" si="1"/>
        <v>1730.4077997167944</v>
      </c>
      <c r="H20" s="1">
        <f t="shared" si="2"/>
        <v>1.8642273055961516</v>
      </c>
      <c r="I20" s="3">
        <v>5.3679893841372737</v>
      </c>
      <c r="J20">
        <v>373</v>
      </c>
      <c r="K20">
        <v>3806</v>
      </c>
      <c r="L20" s="2">
        <v>5.5428240740740743E-2</v>
      </c>
      <c r="M20">
        <v>541.16</v>
      </c>
      <c r="N20" s="1">
        <v>0.27027458427600509</v>
      </c>
      <c r="O20">
        <v>3700.5079999999971</v>
      </c>
      <c r="P20">
        <v>255</v>
      </c>
      <c r="Q20" s="1">
        <v>1.8481655357196221</v>
      </c>
    </row>
    <row r="21" spans="1:17" x14ac:dyDescent="0.3">
      <c r="A21" t="s">
        <v>29</v>
      </c>
      <c r="B21" t="s">
        <v>106</v>
      </c>
      <c r="C21" t="s">
        <v>107</v>
      </c>
      <c r="D21" s="3">
        <v>2603.4999694824219</v>
      </c>
      <c r="E21" s="3">
        <v>3931.8129999999969</v>
      </c>
      <c r="F21" s="3">
        <f t="shared" si="0"/>
        <v>471.81755999999962</v>
      </c>
      <c r="G21" s="3">
        <f t="shared" si="1"/>
        <v>856.49547051757554</v>
      </c>
      <c r="H21" s="1">
        <f t="shared" si="2"/>
        <v>1.3289784830256202</v>
      </c>
      <c r="I21" s="3">
        <v>6.5579344319456467</v>
      </c>
      <c r="J21">
        <v>397</v>
      </c>
      <c r="K21">
        <v>3896</v>
      </c>
      <c r="L21" s="2">
        <v>7.3263888888888892E-2</v>
      </c>
      <c r="M21">
        <v>555.72</v>
      </c>
      <c r="N21" s="1">
        <v>0.2134511259896337</v>
      </c>
      <c r="O21">
        <v>3376.092999999998</v>
      </c>
      <c r="P21">
        <v>227</v>
      </c>
      <c r="Q21" s="1">
        <v>1.2967516956303891</v>
      </c>
    </row>
    <row r="22" spans="1:17" x14ac:dyDescent="0.3">
      <c r="A22" t="s">
        <v>30</v>
      </c>
      <c r="B22" t="s">
        <v>106</v>
      </c>
      <c r="C22" t="s">
        <v>107</v>
      </c>
      <c r="D22" s="3">
        <v>3627.7900695800781</v>
      </c>
      <c r="E22" s="3">
        <v>5161.4519999999966</v>
      </c>
      <c r="F22" s="3">
        <f t="shared" si="0"/>
        <v>619.37423999999953</v>
      </c>
      <c r="G22" s="3">
        <f t="shared" si="1"/>
        <v>914.28769041991927</v>
      </c>
      <c r="H22" s="1">
        <f t="shared" si="2"/>
        <v>1.2520233180211966</v>
      </c>
      <c r="I22" s="3">
        <v>8.7839953258597525</v>
      </c>
      <c r="J22">
        <v>413</v>
      </c>
      <c r="K22">
        <v>3873</v>
      </c>
      <c r="L22" s="2">
        <v>5.9166666666666673E-2</v>
      </c>
      <c r="M22">
        <v>643.33000000000004</v>
      </c>
      <c r="N22" s="1">
        <v>0.17733385550461761</v>
      </c>
      <c r="O22">
        <v>4518.1219999999976</v>
      </c>
      <c r="P22">
        <v>247</v>
      </c>
      <c r="Q22" s="1">
        <v>1.2454199149740151</v>
      </c>
    </row>
    <row r="23" spans="1:17" x14ac:dyDescent="0.3">
      <c r="A23" t="s">
        <v>31</v>
      </c>
      <c r="B23" t="s">
        <v>106</v>
      </c>
      <c r="C23" t="s">
        <v>107</v>
      </c>
      <c r="D23" s="3">
        <v>3396.0799865722661</v>
      </c>
      <c r="E23" s="3">
        <v>3285.7720000000008</v>
      </c>
      <c r="F23" s="3">
        <f t="shared" si="0"/>
        <v>394.29264000000006</v>
      </c>
      <c r="G23" s="3">
        <f t="shared" si="1"/>
        <v>-504.60062657226536</v>
      </c>
      <c r="H23" s="1">
        <f t="shared" si="2"/>
        <v>0.85141674266583778</v>
      </c>
      <c r="I23" s="3">
        <v>9.539550524079397</v>
      </c>
      <c r="J23">
        <v>356</v>
      </c>
      <c r="K23">
        <v>3811</v>
      </c>
      <c r="L23" s="2">
        <v>5.6875000000000002E-2</v>
      </c>
      <c r="M23">
        <v>603.54</v>
      </c>
      <c r="N23" s="1">
        <v>0.17771666226541541</v>
      </c>
      <c r="O23">
        <v>2682.2320000000009</v>
      </c>
      <c r="P23">
        <v>224</v>
      </c>
      <c r="Q23" s="1">
        <v>0.78980236349121857</v>
      </c>
    </row>
    <row r="24" spans="1:17" x14ac:dyDescent="0.3">
      <c r="A24" t="s">
        <v>32</v>
      </c>
      <c r="B24" t="s">
        <v>106</v>
      </c>
      <c r="C24" t="s">
        <v>107</v>
      </c>
      <c r="D24" s="3">
        <v>2933.9700012207031</v>
      </c>
      <c r="E24" s="3">
        <v>3508.7909999999979</v>
      </c>
      <c r="F24" s="3">
        <f t="shared" si="0"/>
        <v>421.05491999999975</v>
      </c>
      <c r="G24" s="3">
        <f t="shared" si="1"/>
        <v>153.76607877929519</v>
      </c>
      <c r="H24" s="1">
        <f t="shared" si="2"/>
        <v>1.0524088789985309</v>
      </c>
      <c r="I24" s="3">
        <v>9.9456610210871297</v>
      </c>
      <c r="J24">
        <v>295</v>
      </c>
      <c r="K24">
        <v>3650</v>
      </c>
      <c r="L24" s="2">
        <v>5.7905092592592591E-2</v>
      </c>
      <c r="M24">
        <v>572.34</v>
      </c>
      <c r="N24" s="1">
        <v>0.1950735691782374</v>
      </c>
      <c r="O24">
        <v>2936.4509999999982</v>
      </c>
      <c r="P24">
        <v>192</v>
      </c>
      <c r="Q24" s="1">
        <v>1.0008456115019111</v>
      </c>
    </row>
    <row r="25" spans="1:17" x14ac:dyDescent="0.3">
      <c r="A25" t="s">
        <v>33</v>
      </c>
      <c r="B25" t="s">
        <v>106</v>
      </c>
      <c r="C25" t="s">
        <v>107</v>
      </c>
      <c r="D25" s="3">
        <v>3245.7699890136719</v>
      </c>
      <c r="E25" s="3">
        <v>2781.1280000000011</v>
      </c>
      <c r="F25" s="3">
        <f t="shared" si="0"/>
        <v>333.73536000000013</v>
      </c>
      <c r="G25" s="3">
        <f t="shared" si="1"/>
        <v>-798.37734901367094</v>
      </c>
      <c r="H25" s="1">
        <f t="shared" si="2"/>
        <v>0.75402528468867791</v>
      </c>
      <c r="I25" s="3">
        <v>8.6323669920576371</v>
      </c>
      <c r="J25">
        <v>376</v>
      </c>
      <c r="K25">
        <v>3576</v>
      </c>
      <c r="L25" s="2">
        <v>5.6134259259259259E-2</v>
      </c>
      <c r="M25">
        <v>631.04999999999995</v>
      </c>
      <c r="N25" s="1">
        <v>0.19442227950100799</v>
      </c>
      <c r="O25">
        <v>2150.0780000000009</v>
      </c>
      <c r="P25">
        <v>165</v>
      </c>
      <c r="Q25" s="1">
        <v>0.66242463491794401</v>
      </c>
    </row>
    <row r="26" spans="1:17" x14ac:dyDescent="0.3">
      <c r="A26" t="s">
        <v>34</v>
      </c>
      <c r="B26" t="s">
        <v>106</v>
      </c>
      <c r="C26" t="s">
        <v>107</v>
      </c>
      <c r="D26" s="3">
        <v>3282.5700225830078</v>
      </c>
      <c r="E26" s="3">
        <v>2527.7530000000002</v>
      </c>
      <c r="F26" s="3">
        <f t="shared" si="0"/>
        <v>303.33035999999998</v>
      </c>
      <c r="G26" s="3">
        <f t="shared" si="1"/>
        <v>-1058.1473825830076</v>
      </c>
      <c r="H26" s="1">
        <f t="shared" si="2"/>
        <v>0.67764666852396149</v>
      </c>
      <c r="I26" s="3">
        <v>9.5701749929533761</v>
      </c>
      <c r="J26">
        <v>343</v>
      </c>
      <c r="K26">
        <v>3578</v>
      </c>
      <c r="L26" s="2">
        <v>5.1967592592592593E-2</v>
      </c>
      <c r="M26">
        <v>667.37</v>
      </c>
      <c r="N26" s="1">
        <v>0.2033071634142494</v>
      </c>
      <c r="O26">
        <v>1860.383</v>
      </c>
      <c r="P26">
        <v>170</v>
      </c>
      <c r="Q26" s="1">
        <v>0.56674586899934298</v>
      </c>
    </row>
    <row r="27" spans="1:17" x14ac:dyDescent="0.3">
      <c r="A27" t="s">
        <v>35</v>
      </c>
      <c r="B27" t="s">
        <v>106</v>
      </c>
      <c r="C27" t="s">
        <v>107</v>
      </c>
      <c r="D27" s="3">
        <v>3840.1499938964839</v>
      </c>
      <c r="E27" s="3">
        <v>2282.282999999999</v>
      </c>
      <c r="F27" s="3">
        <f t="shared" si="0"/>
        <v>273.8739599999999</v>
      </c>
      <c r="G27" s="3">
        <f t="shared" si="1"/>
        <v>-1831.7409538964848</v>
      </c>
      <c r="H27" s="1">
        <f t="shared" si="2"/>
        <v>0.52300275853603506</v>
      </c>
      <c r="I27" s="3">
        <v>10.435190200805661</v>
      </c>
      <c r="J27">
        <v>368</v>
      </c>
      <c r="K27">
        <v>3558</v>
      </c>
      <c r="L27" s="2">
        <v>5.4074074074074073E-2</v>
      </c>
      <c r="M27">
        <v>579.61</v>
      </c>
      <c r="N27" s="1">
        <v>0.1509342085390491</v>
      </c>
      <c r="O27">
        <v>1702.6729999999991</v>
      </c>
      <c r="P27">
        <v>153</v>
      </c>
      <c r="Q27" s="1">
        <v>0.44338710797917241</v>
      </c>
    </row>
    <row r="28" spans="1:17" x14ac:dyDescent="0.3">
      <c r="A28" t="s">
        <v>36</v>
      </c>
      <c r="B28" t="s">
        <v>106</v>
      </c>
      <c r="C28" t="s">
        <v>107</v>
      </c>
      <c r="D28" s="3">
        <v>4333.3700561523438</v>
      </c>
      <c r="E28" s="3">
        <v>2050.5429999999992</v>
      </c>
      <c r="F28" s="3">
        <f t="shared" si="0"/>
        <v>246.06515999999991</v>
      </c>
      <c r="G28" s="3">
        <f t="shared" si="1"/>
        <v>-2528.8922161523442</v>
      </c>
      <c r="H28" s="1">
        <f t="shared" si="2"/>
        <v>0.4164144341741769</v>
      </c>
      <c r="I28" s="3">
        <v>11.648844236968671</v>
      </c>
      <c r="J28">
        <v>372</v>
      </c>
      <c r="K28">
        <v>3551</v>
      </c>
      <c r="L28" s="2">
        <v>4.8506944444444443E-2</v>
      </c>
      <c r="M28">
        <v>534.77</v>
      </c>
      <c r="N28" s="1">
        <v>0.1234074157227249</v>
      </c>
      <c r="O28">
        <v>1515.772999999999</v>
      </c>
      <c r="P28">
        <v>148</v>
      </c>
      <c r="Q28" s="1">
        <v>0.34979080492974879</v>
      </c>
    </row>
    <row r="29" spans="1:17" x14ac:dyDescent="0.3">
      <c r="A29" t="s">
        <v>37</v>
      </c>
      <c r="B29" t="s">
        <v>106</v>
      </c>
      <c r="C29" t="s">
        <v>107</v>
      </c>
      <c r="D29" s="3">
        <v>2959.6299438476558</v>
      </c>
      <c r="E29" s="3">
        <v>2351.8530000000001</v>
      </c>
      <c r="F29" s="3">
        <f t="shared" si="0"/>
        <v>282.22235999999998</v>
      </c>
      <c r="G29" s="3">
        <f t="shared" si="1"/>
        <v>-889.99930384765548</v>
      </c>
      <c r="H29" s="1">
        <f t="shared" si="2"/>
        <v>0.69928696467686924</v>
      </c>
      <c r="I29" s="3">
        <v>10.84113532544929</v>
      </c>
      <c r="J29">
        <v>273</v>
      </c>
      <c r="K29">
        <v>3332</v>
      </c>
      <c r="L29" s="2">
        <v>4.9108796296296303E-2</v>
      </c>
      <c r="M29">
        <v>570.42999999999995</v>
      </c>
      <c r="N29" s="1">
        <v>0.1927369336108333</v>
      </c>
      <c r="O29">
        <v>1781.423</v>
      </c>
      <c r="P29">
        <v>156</v>
      </c>
      <c r="Q29" s="1">
        <v>0.6019073444310632</v>
      </c>
    </row>
    <row r="30" spans="1:17" x14ac:dyDescent="0.3">
      <c r="A30" t="s">
        <v>38</v>
      </c>
      <c r="B30" t="s">
        <v>106</v>
      </c>
      <c r="C30" t="s">
        <v>107</v>
      </c>
      <c r="D30" s="3">
        <v>2314.02001953125</v>
      </c>
      <c r="E30" s="3">
        <v>2071.6749999999979</v>
      </c>
      <c r="F30" s="3">
        <f t="shared" si="0"/>
        <v>248.60099999999974</v>
      </c>
      <c r="G30" s="3">
        <f t="shared" si="1"/>
        <v>-490.94601953125175</v>
      </c>
      <c r="H30" s="1">
        <f t="shared" si="2"/>
        <v>0.78783847357089742</v>
      </c>
      <c r="I30" s="3">
        <v>12.05218760172526</v>
      </c>
      <c r="J30">
        <v>192</v>
      </c>
      <c r="K30">
        <v>3190</v>
      </c>
      <c r="L30" s="2">
        <v>5.1076388888888893E-2</v>
      </c>
      <c r="M30">
        <v>473.96</v>
      </c>
      <c r="N30" s="1">
        <v>0.20482104562604861</v>
      </c>
      <c r="O30">
        <v>1597.714999999999</v>
      </c>
      <c r="P30">
        <v>142</v>
      </c>
      <c r="Q30" s="1">
        <v>0.69044994706815321</v>
      </c>
    </row>
    <row r="31" spans="1:17" x14ac:dyDescent="0.3">
      <c r="A31" t="s">
        <v>39</v>
      </c>
      <c r="B31" t="s">
        <v>106</v>
      </c>
      <c r="C31" t="s">
        <v>107</v>
      </c>
      <c r="D31" s="3">
        <v>2685.469970703125</v>
      </c>
      <c r="E31" s="3">
        <v>2747.666999999999</v>
      </c>
      <c r="F31" s="3">
        <f t="shared" si="0"/>
        <v>329.72003999999987</v>
      </c>
      <c r="G31" s="3">
        <f t="shared" si="1"/>
        <v>-267.52301070312569</v>
      </c>
      <c r="H31" s="1">
        <f t="shared" si="2"/>
        <v>0.9003813062064957</v>
      </c>
      <c r="I31" s="3">
        <v>12.66731118256191</v>
      </c>
      <c r="J31">
        <v>212</v>
      </c>
      <c r="K31">
        <v>3125</v>
      </c>
      <c r="L31" s="2">
        <v>5.2291666666666667E-2</v>
      </c>
      <c r="M31">
        <v>463.98</v>
      </c>
      <c r="N31" s="1">
        <v>0.17277422762560929</v>
      </c>
      <c r="O31">
        <v>2283.686999999999</v>
      </c>
      <c r="P31">
        <v>155</v>
      </c>
      <c r="Q31" s="1">
        <v>0.85038634760904497</v>
      </c>
    </row>
    <row r="32" spans="1:17" x14ac:dyDescent="0.3">
      <c r="A32" t="s">
        <v>40</v>
      </c>
      <c r="B32" t="s">
        <v>106</v>
      </c>
      <c r="C32" t="s">
        <v>107</v>
      </c>
      <c r="D32" s="3">
        <v>2715.7799987792969</v>
      </c>
      <c r="E32" s="3">
        <v>3266.391999999998</v>
      </c>
      <c r="F32" s="3">
        <f t="shared" si="0"/>
        <v>391.96703999999977</v>
      </c>
      <c r="G32" s="3">
        <f t="shared" si="1"/>
        <v>158.64496122070159</v>
      </c>
      <c r="H32" s="1">
        <f t="shared" si="2"/>
        <v>1.0584159840973901</v>
      </c>
      <c r="I32" s="3">
        <v>7.9177259439629646</v>
      </c>
      <c r="J32">
        <v>343</v>
      </c>
      <c r="K32">
        <v>3281</v>
      </c>
      <c r="L32" s="2">
        <v>5.0312500000000003E-2</v>
      </c>
      <c r="M32">
        <v>552.94000000000005</v>
      </c>
      <c r="N32" s="1">
        <v>0.20360264831780869</v>
      </c>
      <c r="O32">
        <v>2713.451999999998</v>
      </c>
      <c r="P32">
        <v>183</v>
      </c>
      <c r="Q32" s="1">
        <v>0.99914278815649837</v>
      </c>
    </row>
    <row r="33" spans="1:17" x14ac:dyDescent="0.3">
      <c r="A33" t="s">
        <v>41</v>
      </c>
      <c r="B33" t="s">
        <v>106</v>
      </c>
      <c r="C33" t="s">
        <v>107</v>
      </c>
      <c r="D33" s="3">
        <v>2687.9700317382808</v>
      </c>
      <c r="E33" s="3">
        <v>2594.5910000000008</v>
      </c>
      <c r="F33" s="3">
        <f t="shared" si="0"/>
        <v>311.35092000000009</v>
      </c>
      <c r="G33" s="3">
        <f t="shared" si="1"/>
        <v>-404.72995173828031</v>
      </c>
      <c r="H33" s="1">
        <f t="shared" si="2"/>
        <v>0.84942914282547044</v>
      </c>
      <c r="I33" s="3">
        <v>7.4253315793875174</v>
      </c>
      <c r="J33">
        <v>362</v>
      </c>
      <c r="K33">
        <v>3305</v>
      </c>
      <c r="L33" s="2">
        <v>5.5370370370370368E-2</v>
      </c>
      <c r="M33">
        <v>540.55999999999995</v>
      </c>
      <c r="N33" s="1">
        <v>0.2011034325596352</v>
      </c>
      <c r="O33">
        <v>2054.0310000000009</v>
      </c>
      <c r="P33">
        <v>173</v>
      </c>
      <c r="Q33" s="1">
        <v>0.76415695701476294</v>
      </c>
    </row>
    <row r="34" spans="1:17" x14ac:dyDescent="0.3">
      <c r="A34" t="s">
        <v>42</v>
      </c>
      <c r="B34" t="s">
        <v>106</v>
      </c>
      <c r="C34" t="s">
        <v>107</v>
      </c>
      <c r="D34" s="3">
        <v>2930.7800750732422</v>
      </c>
      <c r="E34" s="3">
        <v>3265.759000000005</v>
      </c>
      <c r="F34" s="3">
        <f t="shared" si="0"/>
        <v>391.89108000000061</v>
      </c>
      <c r="G34" s="3">
        <f t="shared" si="1"/>
        <v>-56.912155073237955</v>
      </c>
      <c r="H34" s="1">
        <f t="shared" si="2"/>
        <v>0.98058122628944933</v>
      </c>
      <c r="I34" s="3">
        <v>10.85474101878979</v>
      </c>
      <c r="J34">
        <v>270</v>
      </c>
      <c r="K34">
        <v>3136</v>
      </c>
      <c r="L34" s="2">
        <v>4.5590277777777778E-2</v>
      </c>
      <c r="M34">
        <v>538.58000000000004</v>
      </c>
      <c r="N34" s="1">
        <v>0.18376677410246839</v>
      </c>
      <c r="O34">
        <v>2727.1790000000051</v>
      </c>
      <c r="P34">
        <v>225</v>
      </c>
      <c r="Q34" s="1">
        <v>0.93053007395372411</v>
      </c>
    </row>
    <row r="35" spans="1:17" x14ac:dyDescent="0.3">
      <c r="A35" t="s">
        <v>43</v>
      </c>
      <c r="B35" t="s">
        <v>106</v>
      </c>
      <c r="C35" t="s">
        <v>107</v>
      </c>
      <c r="D35" s="3">
        <v>3126.7400207519531</v>
      </c>
      <c r="E35" s="3">
        <v>2397.266999999998</v>
      </c>
      <c r="F35" s="3">
        <f t="shared" si="0"/>
        <v>287.67203999999975</v>
      </c>
      <c r="G35" s="3">
        <f t="shared" si="1"/>
        <v>-1017.145060751955</v>
      </c>
      <c r="H35" s="1">
        <f t="shared" si="2"/>
        <v>0.67469471270357151</v>
      </c>
      <c r="I35" s="3">
        <v>14.27735169293129</v>
      </c>
      <c r="J35">
        <v>219</v>
      </c>
      <c r="K35">
        <v>3090</v>
      </c>
      <c r="L35" s="2">
        <v>4.3969907407407409E-2</v>
      </c>
      <c r="M35">
        <v>427.95</v>
      </c>
      <c r="N35" s="1">
        <v>0.13686779110502501</v>
      </c>
      <c r="O35">
        <v>1969.316999999998</v>
      </c>
      <c r="P35">
        <v>145</v>
      </c>
      <c r="Q35" s="1">
        <v>0.62983074605812428</v>
      </c>
    </row>
    <row r="36" spans="1:17" x14ac:dyDescent="0.3">
      <c r="A36" t="s">
        <v>44</v>
      </c>
      <c r="B36" t="s">
        <v>106</v>
      </c>
      <c r="C36" t="s">
        <v>107</v>
      </c>
      <c r="D36" s="3">
        <v>3091.2699279785161</v>
      </c>
      <c r="E36" s="3">
        <v>1584.878999999999</v>
      </c>
      <c r="F36" s="3">
        <f t="shared" si="0"/>
        <v>190.18547999999987</v>
      </c>
      <c r="G36" s="3">
        <f t="shared" si="1"/>
        <v>-1696.576407978517</v>
      </c>
      <c r="H36" s="1">
        <f t="shared" si="2"/>
        <v>0.45117170369914461</v>
      </c>
      <c r="I36" s="3">
        <v>19.081913135669851</v>
      </c>
      <c r="J36">
        <v>162</v>
      </c>
      <c r="K36">
        <v>2944</v>
      </c>
      <c r="L36" s="2">
        <v>4.7500000000000001E-2</v>
      </c>
      <c r="M36">
        <v>401.27</v>
      </c>
      <c r="N36" s="1">
        <v>0.12980749314971779</v>
      </c>
      <c r="O36">
        <v>1183.608999999999</v>
      </c>
      <c r="P36">
        <v>111</v>
      </c>
      <c r="Q36" s="1">
        <v>0.38288762469021942</v>
      </c>
    </row>
    <row r="37" spans="1:17" x14ac:dyDescent="0.3">
      <c r="A37" t="s">
        <v>45</v>
      </c>
      <c r="B37" t="s">
        <v>106</v>
      </c>
      <c r="C37" t="s">
        <v>107</v>
      </c>
      <c r="D37" s="3">
        <v>3013.030029296875</v>
      </c>
      <c r="E37" s="3">
        <v>1313.616</v>
      </c>
      <c r="F37" s="3">
        <f t="shared" si="0"/>
        <v>157.63391999999999</v>
      </c>
      <c r="G37" s="3">
        <f t="shared" si="1"/>
        <v>-1857.047949296875</v>
      </c>
      <c r="H37" s="1">
        <f t="shared" si="2"/>
        <v>0.38366098869242321</v>
      </c>
      <c r="I37" s="3">
        <v>16.646574747496551</v>
      </c>
      <c r="J37">
        <v>181</v>
      </c>
      <c r="K37">
        <v>2860</v>
      </c>
      <c r="L37" s="2">
        <v>4.4062499999999998E-2</v>
      </c>
      <c r="M37">
        <v>377.52</v>
      </c>
      <c r="N37" s="1">
        <v>0.1252957973631941</v>
      </c>
      <c r="O37">
        <v>936.09599999999944</v>
      </c>
      <c r="P37">
        <v>114</v>
      </c>
      <c r="Q37" s="1">
        <v>0.31068259887819583</v>
      </c>
    </row>
    <row r="38" spans="1:17" x14ac:dyDescent="0.3">
      <c r="A38" t="s">
        <v>46</v>
      </c>
      <c r="B38" t="s">
        <v>106</v>
      </c>
      <c r="C38" t="s">
        <v>107</v>
      </c>
      <c r="D38" s="3">
        <v>2336.9300231933589</v>
      </c>
      <c r="E38" s="3">
        <v>1821.338999999999</v>
      </c>
      <c r="F38" s="3">
        <f t="shared" si="0"/>
        <v>218.56067999999988</v>
      </c>
      <c r="G38" s="3">
        <f t="shared" si="1"/>
        <v>-734.15170319335971</v>
      </c>
      <c r="H38" s="1">
        <f t="shared" si="2"/>
        <v>0.68584780207061613</v>
      </c>
      <c r="I38" s="3">
        <v>13.12882035501887</v>
      </c>
      <c r="J38">
        <v>178</v>
      </c>
      <c r="K38">
        <v>2921</v>
      </c>
      <c r="L38" s="2">
        <v>4.1840277777777768E-2</v>
      </c>
      <c r="M38">
        <v>383.42</v>
      </c>
      <c r="N38" s="1">
        <v>0.16406995339811919</v>
      </c>
      <c r="O38">
        <v>1437.918999999999</v>
      </c>
      <c r="P38">
        <v>120</v>
      </c>
      <c r="Q38" s="1">
        <v>0.61530254895485337</v>
      </c>
    </row>
    <row r="39" spans="1:17" x14ac:dyDescent="0.3">
      <c r="A39" t="s">
        <v>47</v>
      </c>
      <c r="B39" t="s">
        <v>106</v>
      </c>
      <c r="C39" t="s">
        <v>107</v>
      </c>
      <c r="D39" s="3">
        <v>1838.5200042724609</v>
      </c>
      <c r="E39" s="3">
        <v>1660.7589999999991</v>
      </c>
      <c r="F39" s="3">
        <f t="shared" si="0"/>
        <v>199.29107999999988</v>
      </c>
      <c r="G39" s="3">
        <f t="shared" si="1"/>
        <v>-377.0520842724618</v>
      </c>
      <c r="H39" s="1">
        <f t="shared" si="2"/>
        <v>0.7949154301306236</v>
      </c>
      <c r="I39" s="3">
        <v>10.27106147638246</v>
      </c>
      <c r="J39">
        <v>179</v>
      </c>
      <c r="K39">
        <v>3118</v>
      </c>
      <c r="L39" s="2">
        <v>4.7337962962962957E-2</v>
      </c>
      <c r="M39">
        <v>416.46</v>
      </c>
      <c r="N39" s="1">
        <v>0.2265191561866097</v>
      </c>
      <c r="O39">
        <v>1244.2989999999991</v>
      </c>
      <c r="P39">
        <v>119</v>
      </c>
      <c r="Q39" s="1">
        <v>0.67679383259818948</v>
      </c>
    </row>
    <row r="40" spans="1:17" x14ac:dyDescent="0.3">
      <c r="A40" t="s">
        <v>48</v>
      </c>
      <c r="B40" t="s">
        <v>106</v>
      </c>
      <c r="C40" t="s">
        <v>107</v>
      </c>
      <c r="D40" s="3">
        <v>1740.7200012207029</v>
      </c>
      <c r="E40" s="3">
        <v>927.60700000000043</v>
      </c>
      <c r="F40" s="3">
        <f t="shared" si="0"/>
        <v>111.31284000000005</v>
      </c>
      <c r="G40" s="3">
        <f t="shared" si="1"/>
        <v>-924.42584122070252</v>
      </c>
      <c r="H40" s="1">
        <f t="shared" si="2"/>
        <v>0.46894053002640479</v>
      </c>
      <c r="I40" s="3">
        <v>8.4500970933043842</v>
      </c>
      <c r="J40">
        <v>206</v>
      </c>
      <c r="K40">
        <v>2880</v>
      </c>
      <c r="L40" s="2">
        <v>4.085648148148148E-2</v>
      </c>
      <c r="M40">
        <v>420.59</v>
      </c>
      <c r="N40" s="1">
        <v>0.2416184106031157</v>
      </c>
      <c r="O40">
        <v>507.01700000000039</v>
      </c>
      <c r="P40">
        <v>88</v>
      </c>
      <c r="Q40" s="1">
        <v>0.29126855533598051</v>
      </c>
    </row>
    <row r="41" spans="1:17" x14ac:dyDescent="0.3">
      <c r="A41" t="s">
        <v>49</v>
      </c>
      <c r="B41" t="s">
        <v>106</v>
      </c>
      <c r="C41" t="s">
        <v>107</v>
      </c>
      <c r="D41" s="3">
        <v>1485.9700012207029</v>
      </c>
      <c r="E41" s="3">
        <v>1173.117</v>
      </c>
      <c r="F41" s="3">
        <f t="shared" si="0"/>
        <v>140.77403999999999</v>
      </c>
      <c r="G41" s="3">
        <f t="shared" si="1"/>
        <v>-453.62704122070295</v>
      </c>
      <c r="H41" s="1">
        <f t="shared" si="2"/>
        <v>0.69472664936165951</v>
      </c>
      <c r="I41" s="3">
        <v>8.0322702768686653</v>
      </c>
      <c r="J41">
        <v>185</v>
      </c>
      <c r="K41">
        <v>2728</v>
      </c>
      <c r="L41" s="2">
        <v>4.341435185185185E-2</v>
      </c>
      <c r="M41">
        <v>380.43</v>
      </c>
      <c r="N41" s="1">
        <v>0.25601458958625162</v>
      </c>
      <c r="O41">
        <v>792.68700000000047</v>
      </c>
      <c r="P41">
        <v>90</v>
      </c>
      <c r="Q41" s="1">
        <v>0.53344751196108897</v>
      </c>
    </row>
    <row r="42" spans="1:17" x14ac:dyDescent="0.3">
      <c r="A42" t="s">
        <v>50</v>
      </c>
      <c r="B42" t="s">
        <v>106</v>
      </c>
      <c r="C42" t="s">
        <v>107</v>
      </c>
      <c r="D42" s="3">
        <v>1050.1499786376951</v>
      </c>
      <c r="E42" s="3">
        <v>825.17700000000013</v>
      </c>
      <c r="F42" s="3">
        <f t="shared" si="0"/>
        <v>99.021240000000006</v>
      </c>
      <c r="G42" s="3">
        <f t="shared" si="1"/>
        <v>-323.99421863769498</v>
      </c>
      <c r="H42" s="1">
        <f t="shared" si="2"/>
        <v>0.69147814576162181</v>
      </c>
      <c r="I42" s="3">
        <v>10.195630860560151</v>
      </c>
      <c r="J42">
        <v>103</v>
      </c>
      <c r="K42">
        <v>2618</v>
      </c>
      <c r="L42" s="2">
        <v>4.462962962962963E-2</v>
      </c>
      <c r="M42">
        <v>311.16000000000003</v>
      </c>
      <c r="N42" s="1">
        <v>0.29630053452331789</v>
      </c>
      <c r="O42">
        <v>514.01700000000005</v>
      </c>
      <c r="P42">
        <v>75</v>
      </c>
      <c r="Q42" s="1">
        <v>0.48947008566034289</v>
      </c>
    </row>
    <row r="43" spans="1:17" x14ac:dyDescent="0.3">
      <c r="A43" t="s">
        <v>51</v>
      </c>
      <c r="B43" t="s">
        <v>106</v>
      </c>
      <c r="C43" t="s">
        <v>107</v>
      </c>
      <c r="D43" s="3">
        <v>570.05030822753906</v>
      </c>
      <c r="E43" s="3">
        <v>1247.0309999999999</v>
      </c>
      <c r="F43" s="3">
        <f t="shared" si="0"/>
        <v>149.64372</v>
      </c>
      <c r="G43" s="3">
        <f t="shared" si="1"/>
        <v>527.33697177246086</v>
      </c>
      <c r="H43" s="1">
        <f t="shared" si="2"/>
        <v>1.9250709352515096</v>
      </c>
      <c r="I43" s="3">
        <v>4.9142267950649918</v>
      </c>
      <c r="J43">
        <v>116</v>
      </c>
      <c r="K43">
        <v>2491</v>
      </c>
      <c r="L43" s="2">
        <v>4.5011574074074072E-2</v>
      </c>
      <c r="M43">
        <v>277.08999999999997</v>
      </c>
      <c r="N43" s="1">
        <v>0.48607990558159259</v>
      </c>
      <c r="O43">
        <v>969.94100000000014</v>
      </c>
      <c r="P43">
        <v>73</v>
      </c>
      <c r="Q43" s="1">
        <v>1.701500702658759</v>
      </c>
    </row>
    <row r="44" spans="1:17" x14ac:dyDescent="0.3">
      <c r="A44" t="s">
        <v>52</v>
      </c>
      <c r="B44" t="s">
        <v>106</v>
      </c>
      <c r="C44" t="s">
        <v>107</v>
      </c>
      <c r="D44" s="3">
        <v>437.69000244140619</v>
      </c>
      <c r="E44" s="3">
        <v>1075.58</v>
      </c>
      <c r="F44" s="3">
        <f t="shared" si="0"/>
        <v>129.06959999999998</v>
      </c>
      <c r="G44" s="3">
        <f t="shared" si="1"/>
        <v>508.8203975585937</v>
      </c>
      <c r="H44" s="1">
        <f t="shared" si="2"/>
        <v>2.1625131822075598</v>
      </c>
      <c r="I44" s="3">
        <v>4.2494174994311287</v>
      </c>
      <c r="J44">
        <v>103</v>
      </c>
      <c r="K44">
        <v>2407</v>
      </c>
      <c r="L44" s="2">
        <v>4.3738425925925917E-2</v>
      </c>
      <c r="M44">
        <v>268.27</v>
      </c>
      <c r="N44" s="1">
        <v>0.61292238457265968</v>
      </c>
      <c r="O44">
        <v>807.31000000000017</v>
      </c>
      <c r="P44">
        <v>69</v>
      </c>
      <c r="Q44" s="1">
        <v>1.8444789588450221</v>
      </c>
    </row>
    <row r="45" spans="1:17" x14ac:dyDescent="0.3">
      <c r="A45" t="s">
        <v>53</v>
      </c>
      <c r="B45" t="s">
        <v>106</v>
      </c>
      <c r="C45" t="s">
        <v>107</v>
      </c>
      <c r="D45" s="3">
        <v>433.77999877929688</v>
      </c>
      <c r="E45" s="3">
        <v>1440.318</v>
      </c>
      <c r="F45" s="3">
        <f t="shared" si="0"/>
        <v>172.83815999999999</v>
      </c>
      <c r="G45" s="3">
        <f t="shared" si="1"/>
        <v>833.69984122070309</v>
      </c>
      <c r="H45" s="1">
        <f t="shared" si="2"/>
        <v>2.9219416376200451</v>
      </c>
      <c r="I45" s="3">
        <v>2.7454430302487141</v>
      </c>
      <c r="J45">
        <v>158</v>
      </c>
      <c r="K45">
        <v>2441</v>
      </c>
      <c r="L45" s="2">
        <v>4.6215277777777779E-2</v>
      </c>
      <c r="M45">
        <v>260.02</v>
      </c>
      <c r="N45" s="1">
        <v>0.59942828330426479</v>
      </c>
      <c r="O45">
        <v>1180.298</v>
      </c>
      <c r="P45">
        <v>83</v>
      </c>
      <c r="Q45" s="1">
        <v>2.72095994126397</v>
      </c>
    </row>
    <row r="46" spans="1:17" x14ac:dyDescent="0.3">
      <c r="A46" t="s">
        <v>54</v>
      </c>
      <c r="B46" t="s">
        <v>106</v>
      </c>
      <c r="C46" t="s">
        <v>107</v>
      </c>
      <c r="D46" s="3">
        <v>429.989990234375</v>
      </c>
      <c r="E46" s="3">
        <v>1052.797</v>
      </c>
      <c r="F46" s="3">
        <f t="shared" si="0"/>
        <v>126.33564</v>
      </c>
      <c r="G46" s="3">
        <f t="shared" si="1"/>
        <v>496.47136976562501</v>
      </c>
      <c r="H46" s="1">
        <f t="shared" si="2"/>
        <v>2.1546114585016571</v>
      </c>
      <c r="I46" s="3">
        <v>2.2750793134093921</v>
      </c>
      <c r="J46">
        <v>189</v>
      </c>
      <c r="K46">
        <v>2435</v>
      </c>
      <c r="L46" s="2">
        <v>5.0138888888888893E-2</v>
      </c>
      <c r="M46">
        <v>290.35000000000002</v>
      </c>
      <c r="N46" s="1">
        <v>0.67524827692323419</v>
      </c>
      <c r="O46">
        <v>762.44700000000057</v>
      </c>
      <c r="P46">
        <v>94</v>
      </c>
      <c r="Q46" s="1">
        <v>1.773173835010468</v>
      </c>
    </row>
    <row r="47" spans="1:17" x14ac:dyDescent="0.3">
      <c r="A47" t="s">
        <v>55</v>
      </c>
      <c r="B47" t="s">
        <v>106</v>
      </c>
      <c r="C47" t="s">
        <v>107</v>
      </c>
      <c r="D47" s="3">
        <v>583.69000244140625</v>
      </c>
      <c r="E47" s="3">
        <v>1431.774000000001</v>
      </c>
      <c r="F47" s="3">
        <f t="shared" si="0"/>
        <v>171.81288000000012</v>
      </c>
      <c r="G47" s="3">
        <f t="shared" si="1"/>
        <v>676.2711175585946</v>
      </c>
      <c r="H47" s="1">
        <f t="shared" si="2"/>
        <v>2.1586135015675243</v>
      </c>
      <c r="I47" s="3">
        <v>2.6898156794534849</v>
      </c>
      <c r="J47">
        <v>217</v>
      </c>
      <c r="K47">
        <v>2553</v>
      </c>
      <c r="L47" s="2">
        <v>4.2997685185185187E-2</v>
      </c>
      <c r="M47">
        <v>331.64</v>
      </c>
      <c r="N47" s="1">
        <v>0.56817831145444653</v>
      </c>
      <c r="O47">
        <v>1100.1340000000009</v>
      </c>
      <c r="P47">
        <v>88</v>
      </c>
      <c r="Q47" s="1">
        <v>1.884791576690467</v>
      </c>
    </row>
    <row r="48" spans="1:17" x14ac:dyDescent="0.3">
      <c r="A48" t="s">
        <v>56</v>
      </c>
      <c r="B48" t="s">
        <v>106</v>
      </c>
      <c r="C48" t="s">
        <v>107</v>
      </c>
      <c r="D48" s="3">
        <v>703.1199951171875</v>
      </c>
      <c r="E48" s="3">
        <v>1115.692</v>
      </c>
      <c r="F48" s="3">
        <f t="shared" si="0"/>
        <v>133.88303999999999</v>
      </c>
      <c r="G48" s="3">
        <f t="shared" si="1"/>
        <v>278.68896488281257</v>
      </c>
      <c r="H48" s="1">
        <f t="shared" si="2"/>
        <v>1.3963604602602206</v>
      </c>
      <c r="I48" s="3">
        <v>4.7831292184842686</v>
      </c>
      <c r="J48">
        <v>147</v>
      </c>
      <c r="K48">
        <v>2341</v>
      </c>
      <c r="L48" s="2">
        <v>4.4583333333333343E-2</v>
      </c>
      <c r="M48">
        <v>250.52</v>
      </c>
      <c r="N48" s="1">
        <v>0.35629764725755858</v>
      </c>
      <c r="O48">
        <v>865.17200000000037</v>
      </c>
      <c r="P48">
        <v>80</v>
      </c>
      <c r="Q48" s="1">
        <v>1.230475603038147</v>
      </c>
    </row>
    <row r="49" spans="1:17" x14ac:dyDescent="0.3">
      <c r="A49" t="s">
        <v>57</v>
      </c>
      <c r="B49" t="s">
        <v>106</v>
      </c>
      <c r="C49" t="s">
        <v>107</v>
      </c>
      <c r="D49" s="3">
        <v>724.760009765625</v>
      </c>
      <c r="E49" s="3">
        <v>2712.0730000000008</v>
      </c>
      <c r="F49" s="3">
        <f t="shared" si="0"/>
        <v>325.44876000000011</v>
      </c>
      <c r="G49" s="3">
        <f t="shared" si="1"/>
        <v>1661.8642302343756</v>
      </c>
      <c r="H49" s="1">
        <f t="shared" si="2"/>
        <v>3.2929855508608901</v>
      </c>
      <c r="I49" s="3">
        <v>4.165287412446121</v>
      </c>
      <c r="J49">
        <v>174</v>
      </c>
      <c r="K49">
        <v>2285</v>
      </c>
      <c r="L49" s="2">
        <v>4.7824074074074067E-2</v>
      </c>
      <c r="M49">
        <v>306.39</v>
      </c>
      <c r="N49" s="1">
        <v>0.42274683463713908</v>
      </c>
      <c r="O49">
        <v>2405.6830000000009</v>
      </c>
      <c r="P49">
        <v>110</v>
      </c>
      <c r="Q49" s="1">
        <v>3.3192822004320539</v>
      </c>
    </row>
    <row r="50" spans="1:17" x14ac:dyDescent="0.3">
      <c r="A50" t="s">
        <v>58</v>
      </c>
      <c r="B50" t="s">
        <v>106</v>
      </c>
      <c r="C50" t="s">
        <v>107</v>
      </c>
      <c r="D50" s="3">
        <v>716.21002197265625</v>
      </c>
      <c r="E50" s="3">
        <v>1398.199000000001</v>
      </c>
      <c r="F50" s="3">
        <f t="shared" si="0"/>
        <v>167.78388000000012</v>
      </c>
      <c r="G50" s="3">
        <f t="shared" si="1"/>
        <v>514.20509802734455</v>
      </c>
      <c r="H50" s="1">
        <f t="shared" si="2"/>
        <v>1.7179529499057695</v>
      </c>
      <c r="I50" s="3">
        <v>5.3052594220196756</v>
      </c>
      <c r="J50">
        <v>135</v>
      </c>
      <c r="K50">
        <v>2329</v>
      </c>
      <c r="L50" s="2">
        <v>4.3483796296296298E-2</v>
      </c>
      <c r="M50">
        <v>305.10000000000002</v>
      </c>
      <c r="N50" s="1">
        <v>0.42599236346855851</v>
      </c>
      <c r="O50">
        <v>1093.0990000000011</v>
      </c>
      <c r="P50">
        <v>93</v>
      </c>
      <c r="Q50" s="1">
        <v>1.5262268977879969</v>
      </c>
    </row>
    <row r="51" spans="1:17" x14ac:dyDescent="0.3">
      <c r="A51" t="s">
        <v>59</v>
      </c>
      <c r="B51" t="s">
        <v>106</v>
      </c>
      <c r="C51" t="s">
        <v>107</v>
      </c>
      <c r="D51" s="3">
        <v>703.530029296875</v>
      </c>
      <c r="E51" s="3">
        <v>958.17999999999961</v>
      </c>
      <c r="F51" s="3">
        <f t="shared" si="0"/>
        <v>114.98159999999994</v>
      </c>
      <c r="G51" s="3">
        <f t="shared" si="1"/>
        <v>139.66837070312465</v>
      </c>
      <c r="H51" s="1">
        <f t="shared" si="2"/>
        <v>1.1985251018250247</v>
      </c>
      <c r="I51" s="3">
        <v>4.5683768136160712</v>
      </c>
      <c r="J51">
        <v>154</v>
      </c>
      <c r="K51">
        <v>2237</v>
      </c>
      <c r="L51" s="2">
        <v>4.7824074074074067E-2</v>
      </c>
      <c r="M51">
        <v>272.81</v>
      </c>
      <c r="N51" s="1">
        <v>0.38777307099833808</v>
      </c>
      <c r="O51">
        <v>685.36999999999955</v>
      </c>
      <c r="P51">
        <v>71</v>
      </c>
      <c r="Q51" s="1">
        <v>0.97418727198464428</v>
      </c>
    </row>
    <row r="52" spans="1:17" x14ac:dyDescent="0.3">
      <c r="A52" t="s">
        <v>60</v>
      </c>
      <c r="B52" t="s">
        <v>106</v>
      </c>
      <c r="C52" t="s">
        <v>107</v>
      </c>
      <c r="D52" s="3">
        <v>655.880126953125</v>
      </c>
      <c r="E52" s="3">
        <v>1826.854</v>
      </c>
      <c r="F52" s="3">
        <f t="shared" si="0"/>
        <v>219.22247999999999</v>
      </c>
      <c r="G52" s="3">
        <f t="shared" si="1"/>
        <v>951.75139304687514</v>
      </c>
      <c r="H52" s="1">
        <f t="shared" si="2"/>
        <v>2.4511057035196551</v>
      </c>
      <c r="I52" s="3">
        <v>3.9992690667873481</v>
      </c>
      <c r="J52">
        <v>164</v>
      </c>
      <c r="K52">
        <v>2224</v>
      </c>
      <c r="L52" s="2">
        <v>4.6527777777777779E-2</v>
      </c>
      <c r="M52">
        <v>268.85000000000002</v>
      </c>
      <c r="N52" s="1">
        <v>0.40990722077361308</v>
      </c>
      <c r="O52">
        <v>1558.0039999999999</v>
      </c>
      <c r="P52">
        <v>88</v>
      </c>
      <c r="Q52" s="1">
        <v>2.375440169589631</v>
      </c>
    </row>
    <row r="53" spans="1:17" x14ac:dyDescent="0.3">
      <c r="A53" t="s">
        <v>61</v>
      </c>
      <c r="B53" t="s">
        <v>106</v>
      </c>
      <c r="C53" t="s">
        <v>107</v>
      </c>
      <c r="D53" s="3">
        <v>760.760009765625</v>
      </c>
      <c r="E53" s="3">
        <v>2649.213999999999</v>
      </c>
      <c r="F53" s="3">
        <f t="shared" si="0"/>
        <v>317.90567999999985</v>
      </c>
      <c r="G53" s="3">
        <f t="shared" si="1"/>
        <v>1570.5483102343742</v>
      </c>
      <c r="H53" s="1">
        <f t="shared" si="2"/>
        <v>3.0644464615302649</v>
      </c>
      <c r="I53" s="3">
        <v>3.983036700343586</v>
      </c>
      <c r="J53">
        <v>191</v>
      </c>
      <c r="K53">
        <v>2283</v>
      </c>
      <c r="L53" s="2">
        <v>4.6909722222222221E-2</v>
      </c>
      <c r="M53">
        <v>320.93</v>
      </c>
      <c r="N53" s="1">
        <v>0.42185445591293907</v>
      </c>
      <c r="O53">
        <v>2328.2839999999992</v>
      </c>
      <c r="P53">
        <v>124</v>
      </c>
      <c r="Q53" s="1">
        <v>3.0604710685532699</v>
      </c>
    </row>
    <row r="54" spans="1:17" x14ac:dyDescent="0.3">
      <c r="A54" t="s">
        <v>62</v>
      </c>
      <c r="B54" t="s">
        <v>106</v>
      </c>
      <c r="C54" t="s">
        <v>107</v>
      </c>
      <c r="D54" s="3">
        <v>797.239990234375</v>
      </c>
      <c r="E54" s="3">
        <v>1616.325</v>
      </c>
      <c r="F54" s="3">
        <f t="shared" si="0"/>
        <v>193.959</v>
      </c>
      <c r="G54" s="3">
        <f t="shared" si="1"/>
        <v>625.12600976562499</v>
      </c>
      <c r="H54" s="1">
        <f t="shared" si="2"/>
        <v>1.7841127106303944</v>
      </c>
      <c r="I54" s="3">
        <v>3.7605659916715801</v>
      </c>
      <c r="J54">
        <v>212</v>
      </c>
      <c r="K54">
        <v>2345</v>
      </c>
      <c r="L54" s="2">
        <v>5.0057870370370371E-2</v>
      </c>
      <c r="M54">
        <v>348.31</v>
      </c>
      <c r="N54" s="1">
        <v>0.43689479236685402</v>
      </c>
      <c r="O54">
        <v>1268.0150000000001</v>
      </c>
      <c r="P54">
        <v>113</v>
      </c>
      <c r="Q54" s="1">
        <v>1.590506015167686</v>
      </c>
    </row>
    <row r="55" spans="1:17" x14ac:dyDescent="0.3">
      <c r="A55" t="s">
        <v>63</v>
      </c>
      <c r="B55" t="s">
        <v>106</v>
      </c>
      <c r="C55" t="s">
        <v>107</v>
      </c>
      <c r="D55" s="3">
        <v>794.15997314453125</v>
      </c>
      <c r="E55" s="3">
        <v>1492.693</v>
      </c>
      <c r="F55" s="3">
        <f t="shared" si="0"/>
        <v>179.12315999999998</v>
      </c>
      <c r="G55" s="3">
        <f t="shared" si="1"/>
        <v>519.40986685546886</v>
      </c>
      <c r="H55" s="1">
        <f t="shared" si="2"/>
        <v>1.6540368243426191</v>
      </c>
      <c r="I55" s="3">
        <v>4.9634998321533201</v>
      </c>
      <c r="J55">
        <v>160</v>
      </c>
      <c r="K55">
        <v>2278</v>
      </c>
      <c r="L55" s="2">
        <v>4.2916666666666672E-2</v>
      </c>
      <c r="M55">
        <v>325.45</v>
      </c>
      <c r="N55" s="1">
        <v>0.40980408356688919</v>
      </c>
      <c r="O55">
        <v>1167.242999999999</v>
      </c>
      <c r="P55">
        <v>85</v>
      </c>
      <c r="Q55" s="1">
        <v>1.4697832168224501</v>
      </c>
    </row>
    <row r="56" spans="1:17" x14ac:dyDescent="0.3">
      <c r="A56" t="s">
        <v>64</v>
      </c>
      <c r="B56" t="s">
        <v>106</v>
      </c>
      <c r="C56" t="s">
        <v>107</v>
      </c>
      <c r="D56" s="3">
        <v>1001.330017089844</v>
      </c>
      <c r="E56" s="3">
        <v>1692.807</v>
      </c>
      <c r="F56" s="3">
        <f t="shared" si="0"/>
        <v>203.13684000000001</v>
      </c>
      <c r="G56" s="3">
        <f t="shared" si="1"/>
        <v>488.34014291015615</v>
      </c>
      <c r="H56" s="1">
        <f t="shared" si="2"/>
        <v>1.487691504874102</v>
      </c>
      <c r="I56" s="3">
        <v>5.2152605056762704</v>
      </c>
      <c r="J56">
        <v>192</v>
      </c>
      <c r="K56">
        <v>2209</v>
      </c>
      <c r="L56" s="2">
        <v>4.1770833333333333E-2</v>
      </c>
      <c r="M56">
        <v>302.39</v>
      </c>
      <c r="N56" s="1">
        <v>0.30198835033312321</v>
      </c>
      <c r="O56">
        <v>1390.4169999999999</v>
      </c>
      <c r="P56">
        <v>98</v>
      </c>
      <c r="Q56" s="1">
        <v>1.388570177932902</v>
      </c>
    </row>
    <row r="57" spans="1:17" x14ac:dyDescent="0.3">
      <c r="A57" t="s">
        <v>65</v>
      </c>
      <c r="B57" t="s">
        <v>106</v>
      </c>
      <c r="C57" t="s">
        <v>107</v>
      </c>
      <c r="D57" s="3">
        <v>1302.239990234375</v>
      </c>
      <c r="E57" s="3">
        <v>1877.9580000000001</v>
      </c>
      <c r="F57" s="3">
        <f t="shared" si="0"/>
        <v>225.35496000000001</v>
      </c>
      <c r="G57" s="3">
        <f t="shared" si="1"/>
        <v>350.36304976562496</v>
      </c>
      <c r="H57" s="1">
        <f t="shared" si="2"/>
        <v>1.2690464525686753</v>
      </c>
      <c r="I57" s="3">
        <v>7.5273987874819364</v>
      </c>
      <c r="J57">
        <v>173</v>
      </c>
      <c r="K57">
        <v>2183</v>
      </c>
      <c r="L57" s="2">
        <v>4.7650462962962957E-2</v>
      </c>
      <c r="M57">
        <v>306.57</v>
      </c>
      <c r="N57" s="1">
        <v>0.23541743633969039</v>
      </c>
      <c r="O57">
        <v>1571.3879999999999</v>
      </c>
      <c r="P57">
        <v>107</v>
      </c>
      <c r="Q57" s="1">
        <v>1.2066808052156219</v>
      </c>
    </row>
    <row r="58" spans="1:17" x14ac:dyDescent="0.3">
      <c r="A58" t="s">
        <v>66</v>
      </c>
      <c r="B58" t="s">
        <v>106</v>
      </c>
      <c r="C58" t="s">
        <v>107</v>
      </c>
      <c r="D58" s="3">
        <v>1692.900024414062</v>
      </c>
      <c r="E58" s="3">
        <v>1392.837</v>
      </c>
      <c r="F58" s="3">
        <f t="shared" si="0"/>
        <v>167.14043999999998</v>
      </c>
      <c r="G58" s="3">
        <f t="shared" si="1"/>
        <v>-467.20346441406195</v>
      </c>
      <c r="H58" s="1">
        <f t="shared" si="2"/>
        <v>0.72402182191723452</v>
      </c>
      <c r="I58" s="3">
        <v>6.3404495296406838</v>
      </c>
      <c r="J58">
        <v>267</v>
      </c>
      <c r="K58">
        <v>2299</v>
      </c>
      <c r="L58" s="2">
        <v>3.6979166666666667E-2</v>
      </c>
      <c r="M58">
        <v>340.52</v>
      </c>
      <c r="N58" s="1">
        <v>0.20114595964865609</v>
      </c>
      <c r="O58">
        <v>1052.317</v>
      </c>
      <c r="P58">
        <v>82</v>
      </c>
      <c r="Q58" s="1">
        <v>0.62160611071183747</v>
      </c>
    </row>
    <row r="59" spans="1:17" x14ac:dyDescent="0.3">
      <c r="A59" t="s">
        <v>67</v>
      </c>
      <c r="B59" t="s">
        <v>106</v>
      </c>
      <c r="C59" t="s">
        <v>107</v>
      </c>
      <c r="D59" s="3">
        <v>1769.183959960938</v>
      </c>
      <c r="E59" s="3">
        <v>1487.251</v>
      </c>
      <c r="F59" s="3">
        <f t="shared" si="0"/>
        <v>178.47011999999998</v>
      </c>
      <c r="G59" s="3">
        <f t="shared" si="1"/>
        <v>-460.40307996093793</v>
      </c>
      <c r="H59" s="1">
        <f t="shared" si="2"/>
        <v>0.73976528705861477</v>
      </c>
      <c r="I59" s="3">
        <v>8.0053572848911205</v>
      </c>
      <c r="J59">
        <v>221</v>
      </c>
      <c r="K59">
        <v>2223</v>
      </c>
      <c r="L59" s="2">
        <v>3.815972222222222E-2</v>
      </c>
      <c r="M59">
        <v>289.60000000000002</v>
      </c>
      <c r="N59" s="1">
        <v>0.1636912873697963</v>
      </c>
      <c r="O59">
        <v>1197.6510000000001</v>
      </c>
      <c r="P59">
        <v>84</v>
      </c>
      <c r="Q59" s="1">
        <v>0.67695108428772044</v>
      </c>
    </row>
    <row r="60" spans="1:17" x14ac:dyDescent="0.3">
      <c r="A60" t="s">
        <v>68</v>
      </c>
      <c r="B60" t="s">
        <v>106</v>
      </c>
      <c r="C60" t="s">
        <v>107</v>
      </c>
      <c r="D60" s="3">
        <v>2001.7099609375</v>
      </c>
      <c r="E60" s="3">
        <v>2454.8440000000001</v>
      </c>
      <c r="F60" s="3">
        <f t="shared" si="0"/>
        <v>294.58127999999999</v>
      </c>
      <c r="G60" s="3">
        <f t="shared" si="1"/>
        <v>158.55275906250017</v>
      </c>
      <c r="H60" s="1">
        <f t="shared" si="2"/>
        <v>1.0792086576759812</v>
      </c>
      <c r="I60" s="3">
        <v>6.2946854117531448</v>
      </c>
      <c r="J60">
        <v>318</v>
      </c>
      <c r="K60">
        <v>2398</v>
      </c>
      <c r="L60" s="2">
        <v>5.185185185185185E-2</v>
      </c>
      <c r="M60">
        <v>423.5</v>
      </c>
      <c r="N60" s="1">
        <v>0.2115691125409867</v>
      </c>
      <c r="O60">
        <v>2031.3440000000001</v>
      </c>
      <c r="P60">
        <v>107</v>
      </c>
      <c r="Q60" s="1">
        <v>1.01480436209081</v>
      </c>
    </row>
    <row r="61" spans="1:17" x14ac:dyDescent="0.3">
      <c r="A61" t="s">
        <v>69</v>
      </c>
      <c r="B61" t="s">
        <v>106</v>
      </c>
      <c r="C61" t="s">
        <v>107</v>
      </c>
      <c r="D61" s="3">
        <v>2094.1298828125</v>
      </c>
      <c r="E61" s="3">
        <v>2410.088999999999</v>
      </c>
      <c r="F61" s="3">
        <f t="shared" si="0"/>
        <v>289.21067999999985</v>
      </c>
      <c r="G61" s="3">
        <f t="shared" si="1"/>
        <v>26.748437187499349</v>
      </c>
      <c r="H61" s="1">
        <f t="shared" si="2"/>
        <v>1.0127730554857348</v>
      </c>
      <c r="I61" s="3">
        <v>5.4820154000327221</v>
      </c>
      <c r="J61">
        <v>382</v>
      </c>
      <c r="K61">
        <v>2556</v>
      </c>
      <c r="L61" s="2">
        <v>4.9664351851851848E-2</v>
      </c>
      <c r="M61">
        <v>484.97</v>
      </c>
      <c r="N61" s="1">
        <v>0.2315854446184904</v>
      </c>
      <c r="O61">
        <v>1925.118999999999</v>
      </c>
      <c r="P61">
        <v>147</v>
      </c>
      <c r="Q61" s="1">
        <v>0.91929302752438979</v>
      </c>
    </row>
    <row r="62" spans="1:17" x14ac:dyDescent="0.3">
      <c r="A62" t="s">
        <v>70</v>
      </c>
      <c r="B62" t="s">
        <v>106</v>
      </c>
      <c r="C62" t="s">
        <v>107</v>
      </c>
      <c r="D62" s="3">
        <v>2036.455200195312</v>
      </c>
      <c r="E62" s="3">
        <v>3590.6390000000001</v>
      </c>
      <c r="F62" s="3">
        <f t="shared" si="0"/>
        <v>430.87668000000002</v>
      </c>
      <c r="G62" s="3">
        <f t="shared" si="1"/>
        <v>1123.3071198046882</v>
      </c>
      <c r="H62" s="1">
        <f t="shared" si="2"/>
        <v>1.5515992297286747</v>
      </c>
      <c r="I62" s="3">
        <v>8.6290474584547141</v>
      </c>
      <c r="J62">
        <v>236</v>
      </c>
      <c r="K62">
        <v>2380</v>
      </c>
      <c r="L62" s="2">
        <v>4.5196759259259263E-2</v>
      </c>
      <c r="M62">
        <v>427.43</v>
      </c>
      <c r="N62" s="1">
        <v>0.20988922317515549</v>
      </c>
      <c r="O62">
        <v>3163.2089999999998</v>
      </c>
      <c r="P62">
        <v>124</v>
      </c>
      <c r="Q62" s="1">
        <v>1.553291719698338</v>
      </c>
    </row>
    <row r="63" spans="1:17" x14ac:dyDescent="0.3">
      <c r="A63" t="s">
        <v>71</v>
      </c>
      <c r="B63" t="s">
        <v>106</v>
      </c>
      <c r="C63" t="s">
        <v>107</v>
      </c>
      <c r="D63" s="3">
        <v>2340.9599456787109</v>
      </c>
      <c r="E63" s="3">
        <v>3309.2960000000039</v>
      </c>
      <c r="F63" s="3">
        <f t="shared" si="0"/>
        <v>397.11552000000046</v>
      </c>
      <c r="G63" s="3">
        <f t="shared" si="1"/>
        <v>571.22053432129269</v>
      </c>
      <c r="H63" s="1">
        <f t="shared" si="2"/>
        <v>1.2440112379435351</v>
      </c>
      <c r="I63" s="3">
        <v>9.0734881615453915</v>
      </c>
      <c r="J63">
        <v>258</v>
      </c>
      <c r="K63">
        <v>2504</v>
      </c>
      <c r="L63" s="2">
        <v>5.2557870370370373E-2</v>
      </c>
      <c r="M63">
        <v>457.02</v>
      </c>
      <c r="N63" s="1">
        <v>0.19522760346396989</v>
      </c>
      <c r="O63">
        <v>2852.2760000000039</v>
      </c>
      <c r="P63">
        <v>145</v>
      </c>
      <c r="Q63" s="1">
        <v>1.2184215305627739</v>
      </c>
    </row>
    <row r="64" spans="1:17" x14ac:dyDescent="0.3">
      <c r="A64" t="s">
        <v>72</v>
      </c>
      <c r="B64" t="s">
        <v>106</v>
      </c>
      <c r="C64" t="s">
        <v>107</v>
      </c>
      <c r="D64" s="3">
        <v>2378.2099304199219</v>
      </c>
      <c r="E64" s="3">
        <v>1638.181</v>
      </c>
      <c r="F64" s="3">
        <f t="shared" si="0"/>
        <v>196.58171999999999</v>
      </c>
      <c r="G64" s="3">
        <f t="shared" si="1"/>
        <v>-936.61065041992174</v>
      </c>
      <c r="H64" s="1">
        <f t="shared" si="2"/>
        <v>0.60616990180738839</v>
      </c>
      <c r="I64" s="3">
        <v>9.9924786992433692</v>
      </c>
      <c r="J64">
        <v>238</v>
      </c>
      <c r="K64">
        <v>2378</v>
      </c>
      <c r="L64" s="2">
        <v>4.4548611111111108E-2</v>
      </c>
      <c r="M64">
        <v>439.48</v>
      </c>
      <c r="N64" s="1">
        <v>0.1847944516497754</v>
      </c>
      <c r="O64">
        <v>1198.701</v>
      </c>
      <c r="P64">
        <v>95</v>
      </c>
      <c r="Q64" s="1">
        <v>0.50403498222225684</v>
      </c>
    </row>
    <row r="65" spans="1:17" x14ac:dyDescent="0.3">
      <c r="A65" t="s">
        <v>73</v>
      </c>
      <c r="B65" t="s">
        <v>106</v>
      </c>
      <c r="C65" t="s">
        <v>107</v>
      </c>
      <c r="D65" s="3">
        <v>2617.7374269421562</v>
      </c>
      <c r="E65" s="3">
        <v>1673.82</v>
      </c>
      <c r="F65" s="3">
        <f t="shared" si="0"/>
        <v>200.85839999999999</v>
      </c>
      <c r="G65" s="3">
        <f t="shared" si="1"/>
        <v>-1144.7758269421563</v>
      </c>
      <c r="H65" s="1">
        <f t="shared" si="2"/>
        <v>0.5626850060819899</v>
      </c>
      <c r="I65" s="3">
        <v>11.79161003127097</v>
      </c>
      <c r="J65">
        <v>222</v>
      </c>
      <c r="K65">
        <v>2377</v>
      </c>
      <c r="L65" s="2">
        <v>4.2569444444444438E-2</v>
      </c>
      <c r="M65">
        <v>410.46</v>
      </c>
      <c r="N65" s="1">
        <v>0.1567995306845838</v>
      </c>
      <c r="O65">
        <v>1263.3599999999999</v>
      </c>
      <c r="P65">
        <v>100</v>
      </c>
      <c r="Q65" s="1">
        <v>0.48261524895404118</v>
      </c>
    </row>
    <row r="66" spans="1:17" x14ac:dyDescent="0.3">
      <c r="A66" t="s">
        <v>74</v>
      </c>
      <c r="B66" t="s">
        <v>106</v>
      </c>
      <c r="C66" t="s">
        <v>107</v>
      </c>
      <c r="D66" s="3">
        <v>2154.37927845076</v>
      </c>
      <c r="E66" s="3">
        <v>1164.751999999999</v>
      </c>
      <c r="F66" s="3">
        <f t="shared" si="0"/>
        <v>139.77023999999989</v>
      </c>
      <c r="G66" s="3">
        <f t="shared" si="1"/>
        <v>-1129.3975184507608</v>
      </c>
      <c r="H66" s="1">
        <f t="shared" si="2"/>
        <v>0.47576662579909135</v>
      </c>
      <c r="I66" s="3">
        <v>8.4485461900029826</v>
      </c>
      <c r="J66">
        <v>255</v>
      </c>
      <c r="K66">
        <v>2385</v>
      </c>
      <c r="L66" s="2">
        <v>4.4699074074074072E-2</v>
      </c>
      <c r="M66">
        <v>396.6</v>
      </c>
      <c r="N66" s="1">
        <v>0.1840901478987487</v>
      </c>
      <c r="O66">
        <v>768.15199999999959</v>
      </c>
      <c r="P66">
        <v>92</v>
      </c>
      <c r="Q66" s="1">
        <v>0.35655374505476428</v>
      </c>
    </row>
    <row r="67" spans="1:17" x14ac:dyDescent="0.3">
      <c r="A67" t="s">
        <v>75</v>
      </c>
      <c r="B67" t="s">
        <v>106</v>
      </c>
      <c r="C67" t="s">
        <v>107</v>
      </c>
      <c r="D67" s="3">
        <v>3351.380487503156</v>
      </c>
      <c r="E67" s="3">
        <v>1781.6890000000001</v>
      </c>
      <c r="F67" s="3">
        <f t="shared" ref="F67:F97" si="3">E67*0.12</f>
        <v>213.80268000000001</v>
      </c>
      <c r="G67" s="3">
        <f t="shared" ref="G67:G98" si="4">E67-F67-D67</f>
        <v>-1783.4941675031559</v>
      </c>
      <c r="H67" s="1">
        <f t="shared" ref="H67:H98" si="5">(E67-F67)/D67</f>
        <v>0.4678329798262047</v>
      </c>
      <c r="I67" s="3">
        <v>10.95222381536979</v>
      </c>
      <c r="J67">
        <v>306</v>
      </c>
      <c r="K67">
        <v>2445</v>
      </c>
      <c r="L67" s="2">
        <v>4.5868055555555558E-2</v>
      </c>
      <c r="M67">
        <v>445.9</v>
      </c>
      <c r="N67" s="1">
        <v>0.13304964973768291</v>
      </c>
      <c r="O67">
        <v>1335.789</v>
      </c>
      <c r="P67">
        <v>97</v>
      </c>
      <c r="Q67" s="1">
        <v>0.39857873642845859</v>
      </c>
    </row>
    <row r="68" spans="1:17" x14ac:dyDescent="0.3">
      <c r="A68" t="s">
        <v>76</v>
      </c>
      <c r="B68" t="s">
        <v>106</v>
      </c>
      <c r="C68" t="s">
        <v>107</v>
      </c>
      <c r="D68" s="3">
        <v>2486.2799987792969</v>
      </c>
      <c r="E68" s="3">
        <v>1828.02</v>
      </c>
      <c r="F68" s="3">
        <f t="shared" si="3"/>
        <v>219.36239999999998</v>
      </c>
      <c r="G68" s="3">
        <f t="shared" si="4"/>
        <v>-877.62239877929687</v>
      </c>
      <c r="H68" s="1">
        <f t="shared" si="5"/>
        <v>0.64701385233755326</v>
      </c>
      <c r="I68" s="3">
        <v>9.8271936710644141</v>
      </c>
      <c r="J68">
        <v>253</v>
      </c>
      <c r="K68">
        <v>2410</v>
      </c>
      <c r="L68" s="2">
        <v>4.508101851851852E-2</v>
      </c>
      <c r="M68">
        <v>471.28</v>
      </c>
      <c r="N68" s="1">
        <v>0.18955226291141261</v>
      </c>
      <c r="O68">
        <v>1356.74</v>
      </c>
      <c r="P68">
        <v>112</v>
      </c>
      <c r="Q68" s="1">
        <v>0.54569075110853416</v>
      </c>
    </row>
    <row r="69" spans="1:17" x14ac:dyDescent="0.3">
      <c r="A69" t="s">
        <v>77</v>
      </c>
      <c r="B69" t="s">
        <v>106</v>
      </c>
      <c r="C69" t="s">
        <v>107</v>
      </c>
      <c r="D69" s="3">
        <v>2587.0600891113281</v>
      </c>
      <c r="E69" s="3">
        <v>1329.421</v>
      </c>
      <c r="F69" s="3">
        <f t="shared" si="3"/>
        <v>159.53052</v>
      </c>
      <c r="G69" s="3">
        <f t="shared" si="4"/>
        <v>-1417.1696091113281</v>
      </c>
      <c r="H69" s="1">
        <f t="shared" si="5"/>
        <v>0.45220846818516108</v>
      </c>
      <c r="I69" s="3">
        <v>13.40445642026595</v>
      </c>
      <c r="J69">
        <v>193</v>
      </c>
      <c r="K69">
        <v>2256</v>
      </c>
      <c r="L69" s="2">
        <v>4.7268518518518522E-2</v>
      </c>
      <c r="M69">
        <v>389.3</v>
      </c>
      <c r="N69" s="1">
        <v>0.15047968991463481</v>
      </c>
      <c r="O69">
        <v>940.12099999999975</v>
      </c>
      <c r="P69">
        <v>83</v>
      </c>
      <c r="Q69" s="1">
        <v>0.36339356938668449</v>
      </c>
    </row>
    <row r="70" spans="1:17" x14ac:dyDescent="0.3">
      <c r="A70" t="s">
        <v>78</v>
      </c>
      <c r="B70" t="s">
        <v>106</v>
      </c>
      <c r="C70" t="s">
        <v>107</v>
      </c>
      <c r="D70" s="3">
        <v>903.75251239904173</v>
      </c>
      <c r="E70" s="3">
        <v>1241.002</v>
      </c>
      <c r="F70" s="3">
        <f t="shared" si="3"/>
        <v>148.92023999999998</v>
      </c>
      <c r="G70" s="3">
        <f t="shared" si="4"/>
        <v>188.3292476009583</v>
      </c>
      <c r="H70" s="1">
        <f t="shared" si="5"/>
        <v>1.2083858634052722</v>
      </c>
      <c r="I70" s="3">
        <v>4.3659541661789456</v>
      </c>
      <c r="J70">
        <v>207</v>
      </c>
      <c r="K70">
        <v>2286</v>
      </c>
      <c r="L70" s="2">
        <v>4.6793981481481478E-2</v>
      </c>
      <c r="M70">
        <v>347.13</v>
      </c>
      <c r="N70" s="1">
        <v>0.38409851727939498</v>
      </c>
      <c r="O70">
        <v>893.87199999999984</v>
      </c>
      <c r="P70">
        <v>82</v>
      </c>
      <c r="Q70" s="1">
        <v>0.98906723659023232</v>
      </c>
    </row>
    <row r="71" spans="1:17" x14ac:dyDescent="0.3">
      <c r="A71" t="s">
        <v>79</v>
      </c>
      <c r="B71" t="s">
        <v>106</v>
      </c>
      <c r="C71" t="s">
        <v>107</v>
      </c>
      <c r="D71" s="3">
        <v>1196.2799987792971</v>
      </c>
      <c r="E71" s="3">
        <v>1329.7679999999989</v>
      </c>
      <c r="F71" s="3">
        <f t="shared" si="3"/>
        <v>159.57215999999985</v>
      </c>
      <c r="G71" s="3">
        <f t="shared" si="4"/>
        <v>-26.08415877929815</v>
      </c>
      <c r="H71" s="1">
        <f t="shared" si="5"/>
        <v>0.97819560737794264</v>
      </c>
      <c r="I71" s="3">
        <v>4.7471428522987971</v>
      </c>
      <c r="J71">
        <v>252</v>
      </c>
      <c r="K71">
        <v>2277</v>
      </c>
      <c r="L71" s="2">
        <v>4.4189814814814807E-2</v>
      </c>
      <c r="M71">
        <v>318.87</v>
      </c>
      <c r="N71" s="1">
        <v>0.26655130933007332</v>
      </c>
      <c r="O71">
        <v>1010.897999999999</v>
      </c>
      <c r="P71">
        <v>82</v>
      </c>
      <c r="Q71" s="1">
        <v>0.8450346081448622</v>
      </c>
    </row>
    <row r="72" spans="1:17" x14ac:dyDescent="0.3">
      <c r="A72" t="s">
        <v>80</v>
      </c>
      <c r="B72" t="s">
        <v>106</v>
      </c>
      <c r="C72" t="s">
        <v>107</v>
      </c>
      <c r="D72" s="3">
        <v>1394.3600158691411</v>
      </c>
      <c r="E72" s="3">
        <v>896.77300000000037</v>
      </c>
      <c r="F72" s="3">
        <f t="shared" si="3"/>
        <v>107.61276000000004</v>
      </c>
      <c r="G72" s="3">
        <f t="shared" si="4"/>
        <v>-605.19977586914069</v>
      </c>
      <c r="H72" s="1">
        <f t="shared" si="5"/>
        <v>0.56596591340730329</v>
      </c>
      <c r="I72" s="3">
        <v>5.4896063616895301</v>
      </c>
      <c r="J72">
        <v>254</v>
      </c>
      <c r="K72">
        <v>2219</v>
      </c>
      <c r="L72" s="2">
        <v>4.6400462962962963E-2</v>
      </c>
      <c r="M72">
        <v>302.97000000000003</v>
      </c>
      <c r="N72" s="1">
        <v>0.21728247837854919</v>
      </c>
      <c r="O72">
        <v>593.80300000000034</v>
      </c>
      <c r="P72">
        <v>71</v>
      </c>
      <c r="Q72" s="1">
        <v>0.4258606050388411</v>
      </c>
    </row>
    <row r="73" spans="1:17" x14ac:dyDescent="0.3">
      <c r="A73" t="s">
        <v>81</v>
      </c>
      <c r="B73" t="s">
        <v>106</v>
      </c>
      <c r="C73" t="s">
        <v>107</v>
      </c>
      <c r="D73" s="3">
        <v>1337.2900238037109</v>
      </c>
      <c r="E73" s="3">
        <v>922.87100000000009</v>
      </c>
      <c r="F73" s="3">
        <f t="shared" si="3"/>
        <v>110.74452000000001</v>
      </c>
      <c r="G73" s="3">
        <f t="shared" si="4"/>
        <v>-525.16354380371081</v>
      </c>
      <c r="H73" s="1">
        <f t="shared" si="5"/>
        <v>0.60729270804700552</v>
      </c>
      <c r="I73" s="3">
        <v>5.5032511267642423</v>
      </c>
      <c r="J73">
        <v>243</v>
      </c>
      <c r="K73">
        <v>2220</v>
      </c>
      <c r="L73" s="2">
        <v>4.5358796296296293E-2</v>
      </c>
      <c r="M73">
        <v>307.55</v>
      </c>
      <c r="N73" s="1">
        <v>0.2299800301547322</v>
      </c>
      <c r="O73">
        <v>615.32100000000014</v>
      </c>
      <c r="P73">
        <v>54</v>
      </c>
      <c r="Q73" s="1">
        <v>0.46012531989868322</v>
      </c>
    </row>
    <row r="74" spans="1:17" x14ac:dyDescent="0.3">
      <c r="A74" t="s">
        <v>82</v>
      </c>
      <c r="B74" t="s">
        <v>106</v>
      </c>
      <c r="C74" t="s">
        <v>107</v>
      </c>
      <c r="D74" s="3">
        <v>1262.369979858398</v>
      </c>
      <c r="E74" s="3">
        <v>1492.1949999999999</v>
      </c>
      <c r="F74" s="3">
        <f t="shared" si="3"/>
        <v>179.06339999999997</v>
      </c>
      <c r="G74" s="3">
        <f t="shared" si="4"/>
        <v>50.761620141601952</v>
      </c>
      <c r="H74" s="1">
        <f t="shared" si="5"/>
        <v>1.0402113650922655</v>
      </c>
      <c r="I74" s="3">
        <v>4.5246235837218576</v>
      </c>
      <c r="J74">
        <v>279</v>
      </c>
      <c r="K74">
        <v>2339</v>
      </c>
      <c r="L74" s="2">
        <v>4.5567129629629631E-2</v>
      </c>
      <c r="M74">
        <v>382.03</v>
      </c>
      <c r="N74" s="1">
        <v>0.302629186447267</v>
      </c>
      <c r="O74">
        <v>1110.165</v>
      </c>
      <c r="P74">
        <v>82</v>
      </c>
      <c r="Q74" s="1">
        <v>0.87942918297576156</v>
      </c>
    </row>
    <row r="75" spans="1:17" x14ac:dyDescent="0.3">
      <c r="A75" t="s">
        <v>83</v>
      </c>
      <c r="B75" t="s">
        <v>106</v>
      </c>
      <c r="C75" t="s">
        <v>107</v>
      </c>
      <c r="D75" s="3">
        <v>1149.349990844727</v>
      </c>
      <c r="E75" s="3">
        <v>1250.5889999999999</v>
      </c>
      <c r="F75" s="3">
        <f t="shared" si="3"/>
        <v>150.07067999999998</v>
      </c>
      <c r="G75" s="3">
        <f t="shared" si="4"/>
        <v>-48.831670844727114</v>
      </c>
      <c r="H75" s="1">
        <f t="shared" si="5"/>
        <v>0.95751366317161779</v>
      </c>
      <c r="I75" s="3">
        <v>3.9093537103562128</v>
      </c>
      <c r="J75">
        <v>294</v>
      </c>
      <c r="K75">
        <v>2372</v>
      </c>
      <c r="L75" s="2">
        <v>5.167824074074074E-2</v>
      </c>
      <c r="M75">
        <v>414.04</v>
      </c>
      <c r="N75" s="1">
        <v>0.36023839848443118</v>
      </c>
      <c r="O75">
        <v>836.54899999999986</v>
      </c>
      <c r="P75">
        <v>87</v>
      </c>
      <c r="Q75" s="1">
        <v>0.72784530966513483</v>
      </c>
    </row>
    <row r="76" spans="1:17" x14ac:dyDescent="0.3">
      <c r="A76" t="s">
        <v>84</v>
      </c>
      <c r="B76" t="s">
        <v>106</v>
      </c>
      <c r="C76" t="s">
        <v>107</v>
      </c>
      <c r="D76" s="3">
        <v>928.61000061035156</v>
      </c>
      <c r="E76" s="3">
        <v>1353.5319999999999</v>
      </c>
      <c r="F76" s="3">
        <f t="shared" si="3"/>
        <v>162.42383999999998</v>
      </c>
      <c r="G76" s="3">
        <f t="shared" si="4"/>
        <v>262.49815938964844</v>
      </c>
      <c r="H76" s="1">
        <f t="shared" si="5"/>
        <v>1.2826785832772802</v>
      </c>
      <c r="I76" s="3">
        <v>3.9181856565837618</v>
      </c>
      <c r="J76">
        <v>237</v>
      </c>
      <c r="K76">
        <v>2246</v>
      </c>
      <c r="L76" s="2">
        <v>4.6053240740740742E-2</v>
      </c>
      <c r="M76">
        <v>398.2</v>
      </c>
      <c r="N76" s="1">
        <v>0.42881295671839992</v>
      </c>
      <c r="O76">
        <v>955.33199999999999</v>
      </c>
      <c r="P76">
        <v>86</v>
      </c>
      <c r="Q76" s="1">
        <v>1.028776342460328</v>
      </c>
    </row>
    <row r="77" spans="1:17" x14ac:dyDescent="0.3">
      <c r="A77" t="s">
        <v>85</v>
      </c>
      <c r="B77" t="s">
        <v>106</v>
      </c>
      <c r="C77" t="s">
        <v>107</v>
      </c>
      <c r="D77" s="3">
        <v>865.72000122070313</v>
      </c>
      <c r="E77" s="3">
        <v>1318.4680000000001</v>
      </c>
      <c r="F77" s="3">
        <f t="shared" si="3"/>
        <v>158.21616</v>
      </c>
      <c r="G77" s="3">
        <f t="shared" si="4"/>
        <v>294.531838779297</v>
      </c>
      <c r="H77" s="1">
        <f t="shared" si="5"/>
        <v>1.3402160494894357</v>
      </c>
      <c r="I77" s="3">
        <v>5.2467878861860786</v>
      </c>
      <c r="J77">
        <v>165</v>
      </c>
      <c r="K77">
        <v>2130</v>
      </c>
      <c r="L77" s="2">
        <v>4.189814814814815E-2</v>
      </c>
      <c r="M77">
        <v>326.39999999999998</v>
      </c>
      <c r="N77" s="1">
        <v>0.37702721381019461</v>
      </c>
      <c r="O77">
        <v>992.06800000000021</v>
      </c>
      <c r="P77">
        <v>77</v>
      </c>
      <c r="Q77" s="1">
        <v>1.1459455697005281</v>
      </c>
    </row>
    <row r="78" spans="1:17" x14ac:dyDescent="0.3">
      <c r="A78" t="s">
        <v>86</v>
      </c>
      <c r="B78" t="s">
        <v>106</v>
      </c>
      <c r="C78" t="s">
        <v>107</v>
      </c>
      <c r="D78" s="3">
        <v>1062.3999786376951</v>
      </c>
      <c r="E78" s="3">
        <v>1174.9739999999999</v>
      </c>
      <c r="F78" s="3">
        <f t="shared" si="3"/>
        <v>140.99687999999998</v>
      </c>
      <c r="G78" s="3">
        <f t="shared" si="4"/>
        <v>-28.422858637695072</v>
      </c>
      <c r="H78" s="1">
        <f t="shared" si="5"/>
        <v>0.97324655571422225</v>
      </c>
      <c r="I78" s="3">
        <v>7.2272107390319409</v>
      </c>
      <c r="J78">
        <v>147</v>
      </c>
      <c r="K78">
        <v>2038</v>
      </c>
      <c r="L78" s="2">
        <v>4.5763888888888889E-2</v>
      </c>
      <c r="M78">
        <v>283.44</v>
      </c>
      <c r="N78" s="1">
        <v>0.26679217403924671</v>
      </c>
      <c r="O78">
        <v>891.53399999999976</v>
      </c>
      <c r="P78">
        <v>79</v>
      </c>
      <c r="Q78" s="1">
        <v>0.83916982109055083</v>
      </c>
    </row>
    <row r="79" spans="1:17" x14ac:dyDescent="0.3">
      <c r="A79" t="s">
        <v>87</v>
      </c>
      <c r="B79" t="s">
        <v>106</v>
      </c>
      <c r="C79" t="s">
        <v>107</v>
      </c>
      <c r="D79" s="3">
        <v>1372.300003051758</v>
      </c>
      <c r="E79" s="3">
        <v>1016.4880000000001</v>
      </c>
      <c r="F79" s="3">
        <f t="shared" si="3"/>
        <v>121.97856</v>
      </c>
      <c r="G79" s="3">
        <f t="shared" si="4"/>
        <v>-477.790563051758</v>
      </c>
      <c r="H79" s="1">
        <f t="shared" si="5"/>
        <v>0.65183228012152272</v>
      </c>
      <c r="I79" s="3">
        <v>10.09044119890998</v>
      </c>
      <c r="J79">
        <v>136</v>
      </c>
      <c r="K79">
        <v>2005</v>
      </c>
      <c r="L79" s="2">
        <v>4.3194444444444452E-2</v>
      </c>
      <c r="M79">
        <v>273.27</v>
      </c>
      <c r="N79" s="1">
        <v>0.1991328422300479</v>
      </c>
      <c r="O79">
        <v>743.21799999999973</v>
      </c>
      <c r="P79">
        <v>71</v>
      </c>
      <c r="Q79" s="1">
        <v>0.54158565790804591</v>
      </c>
    </row>
    <row r="80" spans="1:17" x14ac:dyDescent="0.3">
      <c r="A80" t="s">
        <v>88</v>
      </c>
      <c r="B80" t="s">
        <v>106</v>
      </c>
      <c r="C80" t="s">
        <v>107</v>
      </c>
      <c r="D80" s="3">
        <v>1135.9900207519529</v>
      </c>
      <c r="E80" s="3">
        <v>1411.0509999999999</v>
      </c>
      <c r="F80" s="3">
        <f t="shared" si="3"/>
        <v>169.32611999999997</v>
      </c>
      <c r="G80" s="3">
        <f t="shared" si="4"/>
        <v>105.73485924804709</v>
      </c>
      <c r="H80" s="1">
        <f t="shared" si="5"/>
        <v>1.0930772782476181</v>
      </c>
      <c r="I80" s="3">
        <v>7.7807535667941998</v>
      </c>
      <c r="J80">
        <v>146</v>
      </c>
      <c r="K80">
        <v>1928</v>
      </c>
      <c r="L80" s="2">
        <v>4.6574074074074073E-2</v>
      </c>
      <c r="M80">
        <v>229.99</v>
      </c>
      <c r="N80" s="1">
        <v>0.20245776441571309</v>
      </c>
      <c r="O80">
        <v>1181.0609999999999</v>
      </c>
      <c r="P80">
        <v>77</v>
      </c>
      <c r="Q80" s="1">
        <v>1.039675506320217</v>
      </c>
    </row>
    <row r="81" spans="1:17" x14ac:dyDescent="0.3">
      <c r="A81" t="s">
        <v>89</v>
      </c>
      <c r="B81" t="s">
        <v>106</v>
      </c>
      <c r="C81" t="s">
        <v>107</v>
      </c>
      <c r="D81" s="3">
        <v>1613.7600250244141</v>
      </c>
      <c r="E81" s="3">
        <v>2863.726000000001</v>
      </c>
      <c r="F81" s="3">
        <f t="shared" si="3"/>
        <v>343.64712000000009</v>
      </c>
      <c r="G81" s="3">
        <f t="shared" si="4"/>
        <v>906.31885497558687</v>
      </c>
      <c r="H81" s="1">
        <f t="shared" si="5"/>
        <v>1.5616193491729822</v>
      </c>
      <c r="I81" s="3">
        <v>8.5838299203426285</v>
      </c>
      <c r="J81">
        <v>188</v>
      </c>
      <c r="K81">
        <v>2086</v>
      </c>
      <c r="L81" s="2">
        <v>5.2291666666666667E-2</v>
      </c>
      <c r="M81">
        <v>352.28</v>
      </c>
      <c r="N81" s="1">
        <v>0.2182976369083566</v>
      </c>
      <c r="O81">
        <v>2511.4459999999999</v>
      </c>
      <c r="P81">
        <v>115</v>
      </c>
      <c r="Q81" s="1">
        <v>1.5562698053336681</v>
      </c>
    </row>
    <row r="82" spans="1:17" x14ac:dyDescent="0.3">
      <c r="A82" t="s">
        <v>90</v>
      </c>
      <c r="B82" t="s">
        <v>106</v>
      </c>
      <c r="C82" t="s">
        <v>107</v>
      </c>
      <c r="D82" s="3">
        <v>1510.9400329589839</v>
      </c>
      <c r="E82" s="3">
        <v>1323.97</v>
      </c>
      <c r="F82" s="3">
        <f t="shared" si="3"/>
        <v>158.87639999999999</v>
      </c>
      <c r="G82" s="3">
        <f t="shared" si="4"/>
        <v>-345.84643295898377</v>
      </c>
      <c r="H82" s="1">
        <f t="shared" si="5"/>
        <v>0.77110512302616829</v>
      </c>
      <c r="I82" s="3">
        <v>10.209054276749891</v>
      </c>
      <c r="J82">
        <v>148</v>
      </c>
      <c r="K82">
        <v>2060</v>
      </c>
      <c r="L82" s="2">
        <v>4.5821759259259263E-2</v>
      </c>
      <c r="M82">
        <v>350.34</v>
      </c>
      <c r="N82" s="1">
        <v>0.2318688977443423</v>
      </c>
      <c r="O82">
        <v>973.62999999999965</v>
      </c>
      <c r="P82">
        <v>84</v>
      </c>
      <c r="Q82" s="1">
        <v>0.64438692387630292</v>
      </c>
    </row>
    <row r="83" spans="1:17" x14ac:dyDescent="0.3">
      <c r="A83" t="s">
        <v>91</v>
      </c>
      <c r="B83" t="s">
        <v>106</v>
      </c>
      <c r="C83" t="s">
        <v>107</v>
      </c>
      <c r="D83" s="3">
        <v>1011.039978027344</v>
      </c>
      <c r="E83" s="3">
        <v>964.75000000000023</v>
      </c>
      <c r="F83" s="3">
        <f t="shared" si="3"/>
        <v>115.77000000000002</v>
      </c>
      <c r="G83" s="3">
        <f t="shared" si="4"/>
        <v>-162.05997802734373</v>
      </c>
      <c r="H83" s="1">
        <f t="shared" si="5"/>
        <v>0.83970962419948858</v>
      </c>
      <c r="I83" s="3">
        <v>9.4489717572648946</v>
      </c>
      <c r="J83">
        <v>107</v>
      </c>
      <c r="K83">
        <v>1880</v>
      </c>
      <c r="L83" s="2">
        <v>4.2696759259259261E-2</v>
      </c>
      <c r="M83">
        <v>304.58</v>
      </c>
      <c r="N83" s="1">
        <v>0.30125416068538741</v>
      </c>
      <c r="O83">
        <v>660.17000000000019</v>
      </c>
      <c r="P83">
        <v>77</v>
      </c>
      <c r="Q83" s="1">
        <v>0.65296132135948615</v>
      </c>
    </row>
    <row r="84" spans="1:17" x14ac:dyDescent="0.3">
      <c r="A84" t="s">
        <v>92</v>
      </c>
      <c r="B84" t="s">
        <v>106</v>
      </c>
      <c r="C84" t="s">
        <v>107</v>
      </c>
      <c r="D84" s="3">
        <v>968.22000122070313</v>
      </c>
      <c r="E84" s="3">
        <v>1301.9760000000001</v>
      </c>
      <c r="F84" s="3">
        <f t="shared" si="3"/>
        <v>156.23712</v>
      </c>
      <c r="G84" s="3">
        <f t="shared" si="4"/>
        <v>177.51887877929698</v>
      </c>
      <c r="H84" s="1">
        <f t="shared" si="5"/>
        <v>1.1833456017800565</v>
      </c>
      <c r="I84" s="3">
        <v>8.3467241484543369</v>
      </c>
      <c r="J84">
        <v>116</v>
      </c>
      <c r="K84">
        <v>1857</v>
      </c>
      <c r="L84" s="2">
        <v>4.5104166666666667E-2</v>
      </c>
      <c r="M84">
        <v>286.14999999999998</v>
      </c>
      <c r="N84" s="1">
        <v>0.29554233504702498</v>
      </c>
      <c r="O84">
        <v>1015.826</v>
      </c>
      <c r="P84">
        <v>67</v>
      </c>
      <c r="Q84" s="1">
        <v>1.049168576066676</v>
      </c>
    </row>
    <row r="85" spans="1:17" x14ac:dyDescent="0.3">
      <c r="A85" t="s">
        <v>93</v>
      </c>
      <c r="B85" t="s">
        <v>106</v>
      </c>
      <c r="C85" t="s">
        <v>107</v>
      </c>
      <c r="D85" s="3">
        <v>1191.0499725341799</v>
      </c>
      <c r="E85" s="3">
        <v>934.09099999999989</v>
      </c>
      <c r="F85" s="3">
        <f t="shared" si="3"/>
        <v>112.09091999999998</v>
      </c>
      <c r="G85" s="3">
        <f t="shared" si="4"/>
        <v>-369.04989253418</v>
      </c>
      <c r="H85" s="1">
        <f t="shared" si="5"/>
        <v>0.69014743206033757</v>
      </c>
      <c r="I85" s="3">
        <v>10.008823298606551</v>
      </c>
      <c r="J85">
        <v>119</v>
      </c>
      <c r="K85">
        <v>1880</v>
      </c>
      <c r="L85" s="2">
        <v>4.327546296296296E-2</v>
      </c>
      <c r="M85">
        <v>251.43</v>
      </c>
      <c r="N85" s="1">
        <v>0.21109945493305879</v>
      </c>
      <c r="O85">
        <v>682.66099999999994</v>
      </c>
      <c r="P85">
        <v>61</v>
      </c>
      <c r="Q85" s="1">
        <v>0.57315899059005226</v>
      </c>
    </row>
    <row r="86" spans="1:17" x14ac:dyDescent="0.3">
      <c r="A86" t="s">
        <v>94</v>
      </c>
      <c r="B86" t="s">
        <v>106</v>
      </c>
      <c r="C86" t="s">
        <v>107</v>
      </c>
      <c r="D86" s="3">
        <v>1552.4568494560949</v>
      </c>
      <c r="E86" s="3">
        <v>1147.9860000000001</v>
      </c>
      <c r="F86" s="3">
        <f t="shared" si="3"/>
        <v>137.75832</v>
      </c>
      <c r="G86" s="3">
        <f t="shared" si="4"/>
        <v>-542.22916945609484</v>
      </c>
      <c r="H86" s="1">
        <f t="shared" si="5"/>
        <v>0.65072834736368645</v>
      </c>
      <c r="I86" s="3">
        <v>7.1541790297515906</v>
      </c>
      <c r="J86">
        <v>217</v>
      </c>
      <c r="K86">
        <v>1921</v>
      </c>
      <c r="L86" s="2">
        <v>4.2291666666666658E-2</v>
      </c>
      <c r="M86">
        <v>294.49</v>
      </c>
      <c r="N86" s="1">
        <v>0.1896928730116878</v>
      </c>
      <c r="O86">
        <v>853.49600000000009</v>
      </c>
      <c r="P86">
        <v>80</v>
      </c>
      <c r="Q86" s="1">
        <v>0.54977115808341026</v>
      </c>
    </row>
    <row r="87" spans="1:17" x14ac:dyDescent="0.3">
      <c r="A87" t="s">
        <v>95</v>
      </c>
      <c r="B87" t="s">
        <v>106</v>
      </c>
      <c r="C87" t="s">
        <v>107</v>
      </c>
      <c r="D87" s="3">
        <v>1500.0011509986291</v>
      </c>
      <c r="E87" s="3">
        <v>1188.529</v>
      </c>
      <c r="F87" s="3">
        <f t="shared" si="3"/>
        <v>142.62348</v>
      </c>
      <c r="G87" s="3">
        <f t="shared" si="4"/>
        <v>-454.09563099862908</v>
      </c>
      <c r="H87" s="1">
        <f t="shared" si="5"/>
        <v>0.6972698116289352</v>
      </c>
      <c r="I87" s="3">
        <v>7.614219040602177</v>
      </c>
      <c r="J87">
        <v>197</v>
      </c>
      <c r="K87">
        <v>1913</v>
      </c>
      <c r="L87" s="2">
        <v>4.3692129629629629E-2</v>
      </c>
      <c r="M87">
        <v>335.25</v>
      </c>
      <c r="N87" s="1">
        <v>0.2234998285013359</v>
      </c>
      <c r="O87">
        <v>853.279</v>
      </c>
      <c r="P87">
        <v>65</v>
      </c>
      <c r="Q87" s="1">
        <v>0.56885223016790865</v>
      </c>
    </row>
    <row r="88" spans="1:17" x14ac:dyDescent="0.3">
      <c r="A88" t="s">
        <v>96</v>
      </c>
      <c r="B88" t="s">
        <v>106</v>
      </c>
      <c r="C88" t="s">
        <v>107</v>
      </c>
      <c r="D88" s="3">
        <v>1275.0183256671151</v>
      </c>
      <c r="E88" s="3">
        <v>1489.204</v>
      </c>
      <c r="F88" s="3">
        <f t="shared" si="3"/>
        <v>178.70447999999999</v>
      </c>
      <c r="G88" s="3">
        <f t="shared" si="4"/>
        <v>35.481194332884797</v>
      </c>
      <c r="H88" s="1">
        <f t="shared" si="5"/>
        <v>1.0278279877383882</v>
      </c>
      <c r="I88" s="3">
        <v>5.5677656142668788</v>
      </c>
      <c r="J88">
        <v>229</v>
      </c>
      <c r="K88">
        <v>2015</v>
      </c>
      <c r="L88" s="2">
        <v>4.5740740740740742E-2</v>
      </c>
      <c r="M88">
        <v>362.05</v>
      </c>
      <c r="N88" s="1">
        <v>0.28395670298351838</v>
      </c>
      <c r="O88">
        <v>1127.154</v>
      </c>
      <c r="P88">
        <v>96</v>
      </c>
      <c r="Q88" s="1">
        <v>0.88402964671919526</v>
      </c>
    </row>
    <row r="89" spans="1:17" x14ac:dyDescent="0.3">
      <c r="A89" t="s">
        <v>97</v>
      </c>
      <c r="B89" t="s">
        <v>106</v>
      </c>
      <c r="C89" t="s">
        <v>107</v>
      </c>
      <c r="D89" s="3">
        <v>1798.1300354003911</v>
      </c>
      <c r="E89" s="3">
        <v>1391.047</v>
      </c>
      <c r="F89" s="3">
        <f t="shared" si="3"/>
        <v>166.92563999999999</v>
      </c>
      <c r="G89" s="3">
        <f t="shared" si="4"/>
        <v>-574.00867540039098</v>
      </c>
      <c r="H89" s="1">
        <f t="shared" si="5"/>
        <v>0.68077465806160342</v>
      </c>
      <c r="I89" s="3">
        <v>5.6367712708476194</v>
      </c>
      <c r="J89">
        <v>319</v>
      </c>
      <c r="K89">
        <v>2145</v>
      </c>
      <c r="L89" s="2">
        <v>4.2569444444444438E-2</v>
      </c>
      <c r="M89">
        <v>393.26</v>
      </c>
      <c r="N89" s="1">
        <v>0.2187049836539951</v>
      </c>
      <c r="O89">
        <v>997.78700000000003</v>
      </c>
      <c r="P89">
        <v>90</v>
      </c>
      <c r="Q89" s="1">
        <v>0.55490258232509992</v>
      </c>
    </row>
    <row r="90" spans="1:17" x14ac:dyDescent="0.3">
      <c r="A90" t="s">
        <v>98</v>
      </c>
      <c r="B90" t="s">
        <v>106</v>
      </c>
      <c r="C90" t="s">
        <v>107</v>
      </c>
      <c r="D90" s="3">
        <v>1350.3399963378911</v>
      </c>
      <c r="E90" s="3">
        <v>1068.481</v>
      </c>
      <c r="F90" s="3">
        <f t="shared" si="3"/>
        <v>128.21771999999999</v>
      </c>
      <c r="G90" s="3">
        <f t="shared" si="4"/>
        <v>-410.07671633789107</v>
      </c>
      <c r="H90" s="1">
        <f t="shared" si="5"/>
        <v>0.69631595194542473</v>
      </c>
      <c r="I90" s="3">
        <v>7.4604419687176273</v>
      </c>
      <c r="J90">
        <v>181</v>
      </c>
      <c r="K90">
        <v>2024</v>
      </c>
      <c r="L90" s="2">
        <v>4.821759259259259E-2</v>
      </c>
      <c r="M90">
        <v>343.82</v>
      </c>
      <c r="N90" s="1">
        <v>0.25461735631947258</v>
      </c>
      <c r="O90">
        <v>724.66099999999983</v>
      </c>
      <c r="P90">
        <v>81</v>
      </c>
      <c r="Q90" s="1">
        <v>0.53665077089123747</v>
      </c>
    </row>
    <row r="91" spans="1:17" x14ac:dyDescent="0.3">
      <c r="A91" t="s">
        <v>99</v>
      </c>
      <c r="B91" t="s">
        <v>106</v>
      </c>
      <c r="C91" t="s">
        <v>107</v>
      </c>
      <c r="D91" s="3">
        <v>1411.600036621094</v>
      </c>
      <c r="E91" s="3">
        <v>1197.52</v>
      </c>
      <c r="F91" s="3">
        <f t="shared" si="3"/>
        <v>143.70239999999998</v>
      </c>
      <c r="G91" s="3">
        <f t="shared" si="4"/>
        <v>-357.78243662109389</v>
      </c>
      <c r="H91" s="1">
        <f t="shared" si="5"/>
        <v>0.74654121044264965</v>
      </c>
      <c r="I91" s="3">
        <v>8.9910830358031451</v>
      </c>
      <c r="J91">
        <v>157</v>
      </c>
      <c r="K91">
        <v>1914</v>
      </c>
      <c r="L91" s="2">
        <v>4.6666666666666669E-2</v>
      </c>
      <c r="M91">
        <v>318.11</v>
      </c>
      <c r="N91" s="1">
        <v>0.22535420214457541</v>
      </c>
      <c r="O91">
        <v>879.41000000000054</v>
      </c>
      <c r="P91">
        <v>73</v>
      </c>
      <c r="Q91" s="1">
        <v>0.62298808244934512</v>
      </c>
    </row>
    <row r="92" spans="1:17" x14ac:dyDescent="0.3">
      <c r="A92" t="s">
        <v>100</v>
      </c>
      <c r="B92" t="s">
        <v>106</v>
      </c>
      <c r="C92" t="s">
        <v>107</v>
      </c>
      <c r="D92" s="3">
        <v>1159.7012237526069</v>
      </c>
      <c r="E92" s="3">
        <v>1337.846</v>
      </c>
      <c r="F92" s="3">
        <f t="shared" si="3"/>
        <v>160.54151999999999</v>
      </c>
      <c r="G92" s="3">
        <f t="shared" si="4"/>
        <v>17.603256247393119</v>
      </c>
      <c r="H92" s="1">
        <f t="shared" si="5"/>
        <v>1.0151791305267677</v>
      </c>
      <c r="I92" s="3">
        <v>7.783229689614811</v>
      </c>
      <c r="J92">
        <v>149</v>
      </c>
      <c r="K92">
        <v>1901</v>
      </c>
      <c r="L92" s="2">
        <v>4.5798611111111109E-2</v>
      </c>
      <c r="M92">
        <v>312.36</v>
      </c>
      <c r="N92" s="1">
        <v>0.26934523617147982</v>
      </c>
      <c r="O92">
        <v>1025.4860000000001</v>
      </c>
      <c r="P92">
        <v>78</v>
      </c>
      <c r="Q92" s="1">
        <v>0.88426741215439275</v>
      </c>
    </row>
    <row r="93" spans="1:17" x14ac:dyDescent="0.3">
      <c r="A93" t="s">
        <v>101</v>
      </c>
      <c r="B93" t="s">
        <v>106</v>
      </c>
      <c r="C93" t="s">
        <v>107</v>
      </c>
      <c r="D93" s="3">
        <v>1405.470031738281</v>
      </c>
      <c r="E93" s="3">
        <v>1033.9770000000001</v>
      </c>
      <c r="F93" s="3">
        <f t="shared" si="3"/>
        <v>124.07724</v>
      </c>
      <c r="G93" s="3">
        <f t="shared" si="4"/>
        <v>-495.57027173828089</v>
      </c>
      <c r="H93" s="1">
        <f t="shared" si="5"/>
        <v>0.64739890531471445</v>
      </c>
      <c r="I93" s="3">
        <v>9.0094232803735981</v>
      </c>
      <c r="J93">
        <v>156</v>
      </c>
      <c r="K93">
        <v>1842</v>
      </c>
      <c r="L93" s="2">
        <v>4.3055555555555562E-2</v>
      </c>
      <c r="M93">
        <v>256.76</v>
      </c>
      <c r="N93" s="1">
        <v>0.18268621471952701</v>
      </c>
      <c r="O93">
        <v>777.21699999999998</v>
      </c>
      <c r="P93">
        <v>62</v>
      </c>
      <c r="Q93" s="1">
        <v>0.55299435950173925</v>
      </c>
    </row>
    <row r="94" spans="1:17" x14ac:dyDescent="0.3">
      <c r="A94" t="s">
        <v>102</v>
      </c>
      <c r="B94" t="s">
        <v>106</v>
      </c>
      <c r="C94" t="s">
        <v>107</v>
      </c>
      <c r="D94" s="3">
        <v>847.08459598203626</v>
      </c>
      <c r="E94" s="3">
        <v>924.95399999999995</v>
      </c>
      <c r="F94" s="3">
        <f t="shared" si="3"/>
        <v>110.99448</v>
      </c>
      <c r="G94" s="3">
        <f t="shared" si="4"/>
        <v>-33.125075982036265</v>
      </c>
      <c r="H94" s="1">
        <f t="shared" si="5"/>
        <v>0.9608951973165869</v>
      </c>
      <c r="I94" s="3">
        <v>6.6699574486774509</v>
      </c>
      <c r="J94">
        <v>127</v>
      </c>
      <c r="K94">
        <v>1842</v>
      </c>
      <c r="L94" s="2">
        <v>4.1226851851851848E-2</v>
      </c>
      <c r="M94">
        <v>225.01</v>
      </c>
      <c r="N94" s="1">
        <v>0.26562872358591599</v>
      </c>
      <c r="O94">
        <v>699.94399999999996</v>
      </c>
      <c r="P94">
        <v>62</v>
      </c>
      <c r="Q94" s="1">
        <v>0.82629763700111403</v>
      </c>
    </row>
    <row r="95" spans="1:17" x14ac:dyDescent="0.3">
      <c r="A95" t="s">
        <v>103</v>
      </c>
      <c r="B95" t="s">
        <v>106</v>
      </c>
      <c r="C95" t="s">
        <v>107</v>
      </c>
      <c r="D95" s="3">
        <v>801.72421370403754</v>
      </c>
      <c r="E95" s="3">
        <v>1325.749</v>
      </c>
      <c r="F95" s="3">
        <f t="shared" si="3"/>
        <v>159.08987999999999</v>
      </c>
      <c r="G95" s="3">
        <f t="shared" si="4"/>
        <v>364.93490629596249</v>
      </c>
      <c r="H95" s="1">
        <f t="shared" si="5"/>
        <v>1.4551875820363847</v>
      </c>
      <c r="I95" s="3">
        <v>9.8978297988152786</v>
      </c>
      <c r="J95">
        <v>81</v>
      </c>
      <c r="K95">
        <v>1786</v>
      </c>
      <c r="L95" s="2">
        <v>4.6956018518518522E-2</v>
      </c>
      <c r="M95">
        <v>246.37</v>
      </c>
      <c r="N95" s="1">
        <v>0.30730018601003528</v>
      </c>
      <c r="O95">
        <v>1079.3789999999999</v>
      </c>
      <c r="P95">
        <v>74</v>
      </c>
      <c r="Q95" s="1">
        <v>1.3463220663040381</v>
      </c>
    </row>
    <row r="96" spans="1:17" x14ac:dyDescent="0.3">
      <c r="A96" t="s">
        <v>104</v>
      </c>
      <c r="B96" t="s">
        <v>106</v>
      </c>
      <c r="C96" t="s">
        <v>107</v>
      </c>
      <c r="D96" s="3">
        <v>703</v>
      </c>
      <c r="E96" s="3">
        <v>1229.1949999999999</v>
      </c>
      <c r="F96" s="3">
        <f t="shared" si="3"/>
        <v>147.5034</v>
      </c>
      <c r="G96" s="3">
        <f t="shared" si="4"/>
        <v>378.69159999999988</v>
      </c>
      <c r="H96" s="1">
        <f t="shared" si="5"/>
        <v>1.5386793741109528</v>
      </c>
      <c r="I96" s="3">
        <v>8.0804597701149419</v>
      </c>
      <c r="J96">
        <v>87</v>
      </c>
      <c r="K96">
        <v>1772</v>
      </c>
      <c r="L96" s="2">
        <v>5.0543981481481481E-2</v>
      </c>
      <c r="M96">
        <v>234.39</v>
      </c>
      <c r="N96" s="1">
        <v>0.33341394025604548</v>
      </c>
      <c r="O96">
        <v>994.80500000000018</v>
      </c>
      <c r="P96">
        <v>74</v>
      </c>
      <c r="Q96" s="1">
        <v>1.415085348506401</v>
      </c>
    </row>
    <row r="97" spans="1:17" x14ac:dyDescent="0.3">
      <c r="A97" t="s">
        <v>105</v>
      </c>
      <c r="B97" t="s">
        <v>106</v>
      </c>
      <c r="C97" t="s">
        <v>107</v>
      </c>
      <c r="D97" s="3">
        <v>637.20999145507813</v>
      </c>
      <c r="E97" s="3">
        <v>973.47799999999995</v>
      </c>
      <c r="F97" s="3">
        <f t="shared" si="3"/>
        <v>116.81735999999999</v>
      </c>
      <c r="G97" s="3">
        <f t="shared" si="4"/>
        <v>219.45064854492182</v>
      </c>
      <c r="H97" s="1">
        <f t="shared" si="5"/>
        <v>1.3443929811015725</v>
      </c>
      <c r="I97" s="3">
        <v>11.378749847412109</v>
      </c>
      <c r="J97">
        <v>56</v>
      </c>
      <c r="K97">
        <v>1739</v>
      </c>
      <c r="L97" s="2">
        <v>4.7754629629629633E-2</v>
      </c>
      <c r="M97">
        <v>219.83</v>
      </c>
      <c r="N97" s="1">
        <v>0.34498831303322008</v>
      </c>
      <c r="O97">
        <v>753.64799999999991</v>
      </c>
      <c r="P97">
        <v>46</v>
      </c>
      <c r="Q97" s="1">
        <v>1.1827309836731119</v>
      </c>
    </row>
    <row r="98" spans="1:17" x14ac:dyDescent="0.3">
      <c r="A98" s="4" t="s">
        <v>114</v>
      </c>
      <c r="B98" s="4"/>
      <c r="C98" s="4"/>
      <c r="D98" s="3">
        <v>236266.33693313599</v>
      </c>
      <c r="E98" s="3">
        <f>SUM(E2:E97)</f>
        <v>245105.42699999997</v>
      </c>
      <c r="F98" s="3">
        <f>SUM(F2:F97)</f>
        <v>29412.651239999992</v>
      </c>
      <c r="G98" s="3">
        <f t="shared" si="4"/>
        <v>-20573.561173135997</v>
      </c>
      <c r="H98" s="1">
        <f t="shared" si="5"/>
        <v>0.91292216470534115</v>
      </c>
      <c r="I98" s="3">
        <f>D98/J98</f>
        <v>2.4450113516551037</v>
      </c>
      <c r="J98">
        <f>SUM(J2:J97)</f>
        <v>96632</v>
      </c>
      <c r="M98">
        <f>SUM(M2:M97)</f>
        <v>44444.260000000017</v>
      </c>
      <c r="N98" s="1">
        <f>M98/D98</f>
        <v>0.18811084379141943</v>
      </c>
      <c r="O98">
        <f>SUM(O2:O97)</f>
        <v>200661.16699999993</v>
      </c>
      <c r="P98">
        <f>SUM(P2:P97)</f>
        <v>14481</v>
      </c>
      <c r="Q98" s="1">
        <f>O98/D98</f>
        <v>0.84930070701010441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2025-03-18T08:54:47Z</dcterms:created>
  <dcterms:modified xsi:type="dcterms:W3CDTF">2025-03-18T09:01:32Z</dcterms:modified>
</cp:coreProperties>
</file>