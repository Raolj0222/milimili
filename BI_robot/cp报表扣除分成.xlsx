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7" yWindow="1837" windowWidth="14401" windowHeight="838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0.00"/>
    <numFmt numFmtId="165" formatCode="#0.00%"/>
    <numFmt numFmtId="166" formatCode="#0.000"/>
    <numFmt numFmtId="167" formatCode="yyyy\-mm\-dd"/>
    <numFmt numFmtId="168" formatCode="#0"/>
    <numFmt numFmtId="169" formatCode="[hh]:mm:ss"/>
    <numFmt numFmtId="170" formatCode="0.00_);[Red]\(0.00\)"/>
    <numFmt numFmtId="171" formatCode="0.00_ "/>
  </numFmts>
  <fonts count="5">
    <font>
      <name val="等线"/>
      <charset val="1"/>
      <family val="2"/>
      <color indexed="8"/>
      <sz val="11"/>
      <scheme val="minor"/>
    </font>
    <font>
      <name val="微软雅黑"/>
      <charset val="134"/>
      <family val="2"/>
      <sz val="9"/>
    </font>
    <font>
      <name val="SimSun"/>
      <charset val="134"/>
      <b val="1"/>
      <sz val="9"/>
    </font>
    <font>
      <name val="SimSun"/>
      <charset val="134"/>
      <sz val="9"/>
    </font>
    <font>
      <name val="等线"/>
      <charset val="134"/>
      <family val="3"/>
      <sz val="9"/>
      <scheme val="minor"/>
    </font>
  </fonts>
  <fills count="13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6CCFF"/>
        <bgColor rgb="FF66CCFF"/>
      </patternFill>
    </fill>
    <fill>
      <patternFill patternType="solid">
        <fgColor rgb="FFCCFFCC"/>
        <bgColor rgb="FFCCFFCC"/>
      </patternFill>
    </fill>
    <fill>
      <patternFill patternType="solid">
        <fgColor rgb="FF66FFCC"/>
        <bgColor rgb="FF66FFCC"/>
      </patternFill>
    </fill>
    <fill>
      <patternFill patternType="solid">
        <fgColor rgb="FF66FFFF"/>
        <bgColor rgb="FF66FFFF"/>
      </patternFill>
    </fill>
    <fill>
      <patternFill patternType="solid">
        <fgColor rgb="FF99FFFF"/>
        <bgColor rgb="FF99FFFF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CC99FF"/>
      </patternFill>
    </fill>
    <fill>
      <patternFill patternType="solid">
        <fgColor rgb="FFFC6600"/>
        <bgColor rgb="FFFC6600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7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8" fontId="3" fillId="9" borderId="1" applyAlignment="1" pivotButton="0" quotePrefix="0" xfId="0">
      <alignment horizontal="center" vertical="center" wrapText="1"/>
    </xf>
    <xf numFmtId="0" fontId="0" fillId="0" borderId="0" pivotButton="0" quotePrefix="0" xfId="0"/>
    <xf numFmtId="169" fontId="3" fillId="0" borderId="1" applyAlignment="1" pivotButton="0" quotePrefix="0" xfId="0">
      <alignment horizontal="center" vertical="center" wrapText="1"/>
    </xf>
    <xf numFmtId="169" fontId="3" fillId="9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0" fontId="3" fillId="9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67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8" fontId="3" fillId="9" borderId="1" applyAlignment="1" pivotButton="0" quotePrefix="0" xfId="0">
      <alignment horizontal="center" vertical="center" wrapText="1"/>
    </xf>
    <xf numFmtId="169" fontId="3" fillId="9" borderId="1" applyAlignment="1" pivotButton="0" quotePrefix="0" xfId="0">
      <alignment horizontal="center" vertical="center" wrapText="1"/>
    </xf>
    <xf numFmtId="170" fontId="3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tabSelected="1" workbookViewId="0">
      <pane xSplit="3" ySplit="1" topLeftCell="J2" activePane="bottomRight" state="frozen"/>
      <selection pane="topRight" activeCell="A1" sqref="A1"/>
      <selection pane="bottomLeft" activeCell="A1" sqref="A1"/>
      <selection pane="bottomRight" activeCell="A10" sqref="A10:XFD10"/>
    </sheetView>
  </sheetViews>
  <sheetFormatPr baseColWidth="8" defaultColWidth="9.59765625" defaultRowHeight="13.9"/>
  <cols>
    <col width="9.86328125" customWidth="1" style="28" min="1" max="1"/>
    <col width="16.265625" customWidth="1" style="28" min="2" max="2"/>
    <col width="7.1328125" customWidth="1" style="28" min="3" max="3"/>
    <col width="9.796875" customWidth="1" style="28" min="4" max="6"/>
    <col width="12.53125" customWidth="1" style="28" min="7" max="7"/>
    <col width="9.796875" customWidth="1" style="28" min="8" max="8"/>
    <col width="12.06640625" customWidth="1" style="28" min="9" max="9"/>
    <col width="9.796875" customWidth="1" style="28" min="10" max="16"/>
    <col width="11.265625" customWidth="1" style="28" min="17" max="17"/>
    <col width="9.796875" customWidth="1" style="28" min="18" max="43"/>
  </cols>
  <sheetData>
    <row r="1" ht="25.6" customHeight="1" s="28">
      <c r="A1" s="1" t="inlineStr">
        <is>
          <t>日期</t>
        </is>
      </c>
      <c r="B1" s="1" t="inlineStr">
        <is>
          <t>应用名</t>
        </is>
      </c>
      <c r="C1" s="1" t="inlineStr">
        <is>
          <t>国家</t>
        </is>
      </c>
      <c r="D1" s="2" t="inlineStr">
        <is>
          <t>总支出</t>
        </is>
      </c>
      <c r="E1" s="2" t="inlineStr">
        <is>
          <t>总收入</t>
        </is>
      </c>
      <c r="F1" s="3" t="inlineStr">
        <is>
          <t>总ROI</t>
        </is>
      </c>
      <c r="G1" s="3" t="inlineStr">
        <is>
          <t>总ROI(扣除分成)</t>
        </is>
      </c>
      <c r="H1" s="3" t="inlineStr">
        <is>
          <t>毛利</t>
        </is>
      </c>
      <c r="I1" s="3" t="inlineStr">
        <is>
          <t>毛利(扣除分成)</t>
        </is>
      </c>
      <c r="J1" s="3" t="inlineStr">
        <is>
          <t>总体arpu</t>
        </is>
      </c>
      <c r="K1" s="4" t="inlineStr">
        <is>
          <t>新增成本</t>
        </is>
      </c>
      <c r="L1" s="4" t="inlineStr">
        <is>
          <t>转化人数</t>
        </is>
      </c>
      <c r="M1" s="4" t="inlineStr">
        <is>
          <t>推广支出</t>
        </is>
      </c>
      <c r="N1" s="4" t="inlineStr">
        <is>
          <t>推广CPI</t>
        </is>
      </c>
      <c r="O1" s="5" t="inlineStr">
        <is>
          <t>新增人数</t>
        </is>
      </c>
      <c r="P1" s="5" t="inlineStr">
        <is>
          <t>活跃人数</t>
        </is>
      </c>
      <c r="Q1" s="5" t="inlineStr">
        <is>
          <t>活跃付费用户</t>
        </is>
      </c>
      <c r="R1" s="5" t="inlineStr">
        <is>
          <t>自然新增</t>
        </is>
      </c>
      <c r="S1" s="5" t="inlineStr">
        <is>
          <t>人均日使用时长</t>
        </is>
      </c>
      <c r="T1" s="6" t="inlineStr">
        <is>
          <t>广告收入</t>
        </is>
      </c>
      <c r="U1" s="6" t="inlineStr">
        <is>
          <t>广告ROI</t>
        </is>
      </c>
      <c r="V1" s="6" t="inlineStr">
        <is>
          <t>广告arpu</t>
        </is>
      </c>
      <c r="W1" s="7" t="inlineStr">
        <is>
          <t>激励人均展示</t>
        </is>
      </c>
      <c r="X1" s="7" t="inlineStr">
        <is>
          <t>插页人均展示</t>
        </is>
      </c>
      <c r="Y1" s="7" t="inlineStr">
        <is>
          <t>banner人均展示</t>
        </is>
      </c>
      <c r="Z1" s="8" t="inlineStr">
        <is>
          <t>激励收入</t>
        </is>
      </c>
      <c r="AA1" s="8" t="inlineStr">
        <is>
          <t>插页收入</t>
        </is>
      </c>
      <c r="AB1" s="8" t="inlineStr">
        <is>
          <t>banner收入</t>
        </is>
      </c>
      <c r="AC1" s="9" t="inlineStr">
        <is>
          <t>激励ecpm</t>
        </is>
      </c>
      <c r="AD1" s="9" t="inlineStr">
        <is>
          <t>插页ecpm</t>
        </is>
      </c>
      <c r="AE1" s="9" t="inlineStr">
        <is>
          <t>banner ecpm</t>
        </is>
      </c>
      <c r="AF1" s="10" t="inlineStr">
        <is>
          <t>内购收入</t>
        </is>
      </c>
      <c r="AG1" s="10" t="inlineStr">
        <is>
          <t>付费用户数</t>
        </is>
      </c>
      <c r="AH1" s="10" t="inlineStr">
        <is>
          <t>付费ROI</t>
        </is>
      </c>
      <c r="AI1" s="10" t="inlineStr">
        <is>
          <t>付费率</t>
        </is>
      </c>
      <c r="AJ1" s="10" t="inlineStr">
        <is>
          <t>付费arpu</t>
        </is>
      </c>
      <c r="AK1" s="10" t="inlineStr">
        <is>
          <t>新用户内购</t>
        </is>
      </c>
      <c r="AL1" s="10" t="inlineStr">
        <is>
          <t>老用户内购</t>
        </is>
      </c>
      <c r="AM1" s="10" t="inlineStr">
        <is>
          <t>小R收入</t>
        </is>
      </c>
      <c r="AN1" s="10" t="inlineStr">
        <is>
          <t>中R收入</t>
        </is>
      </c>
      <c r="AO1" s="10" t="inlineStr">
        <is>
          <t>大R收入</t>
        </is>
      </c>
      <c r="AP1" s="11" t="inlineStr">
        <is>
          <t>积分墙收入</t>
        </is>
      </c>
      <c r="AQ1" s="11" t="inlineStr">
        <is>
          <t>积分墙ROI</t>
        </is>
      </c>
    </row>
    <row r="2" ht="14.35" customHeight="1" s="28">
      <c r="A2" s="12" t="inlineStr">
        <is>
          <t>合计</t>
        </is>
      </c>
      <c r="B2" s="12" t="n"/>
      <c r="C2" s="12" t="n"/>
      <c r="D2" s="34">
        <f>SUM(D3:D9)</f>
        <v/>
      </c>
      <c r="E2" s="34">
        <f>SUM(E3:E9)</f>
        <v/>
      </c>
      <c r="F2" s="35">
        <f>E2/D2</f>
        <v/>
      </c>
      <c r="G2" s="35">
        <f>E2*0.85/D2</f>
        <v/>
      </c>
      <c r="H2" s="34">
        <f>E2-D2</f>
        <v/>
      </c>
      <c r="I2" s="34">
        <f>E2*0.85-D2</f>
        <v/>
      </c>
      <c r="J2" s="36">
        <f>E2/P2</f>
        <v/>
      </c>
      <c r="K2" s="36">
        <f>D2/O2</f>
        <v/>
      </c>
      <c r="L2" s="34">
        <f>SUM(L3:L9)</f>
        <v/>
      </c>
      <c r="M2" s="34">
        <f>SUM(M3:M9)</f>
        <v/>
      </c>
      <c r="N2" s="36">
        <f>D2/L2</f>
        <v/>
      </c>
      <c r="O2" s="34">
        <f>SUM(O3:O9)</f>
        <v/>
      </c>
      <c r="P2" s="34">
        <f>SUM(P3:P9)</f>
        <v/>
      </c>
      <c r="Q2" s="34">
        <f>SUM(Q3:Q9)</f>
        <v/>
      </c>
      <c r="R2" s="37">
        <f>O2-L2</f>
        <v/>
      </c>
      <c r="S2" s="12" t="n"/>
      <c r="T2" s="34">
        <f>SUM(T3:T9)</f>
        <v/>
      </c>
      <c r="U2" s="35">
        <f>T2/D2</f>
        <v/>
      </c>
      <c r="V2" s="36">
        <f>T2/P2</f>
        <v/>
      </c>
      <c r="W2" s="34" t="n"/>
      <c r="X2" s="34" t="n"/>
      <c r="Y2" s="34" t="n"/>
      <c r="Z2" s="34">
        <f>SUM(Z3:Z9)</f>
        <v/>
      </c>
      <c r="AA2" s="34">
        <f>SUM(AA3:AA9)</f>
        <v/>
      </c>
      <c r="AB2" s="34">
        <f>SUM(AB3:AB9)</f>
        <v/>
      </c>
      <c r="AC2" s="34">
        <f>AVERAGE(AC3:AC9)</f>
        <v/>
      </c>
      <c r="AD2" s="34" t="n"/>
      <c r="AE2" s="34" t="n"/>
      <c r="AF2" s="34">
        <f>SUM(AF3:AF9)</f>
        <v/>
      </c>
      <c r="AG2" s="34">
        <f>SUM(AG3:AG9)</f>
        <v/>
      </c>
      <c r="AH2" s="35">
        <f>AF2/D2</f>
        <v/>
      </c>
      <c r="AI2" s="35">
        <f>AG2/P2</f>
        <v/>
      </c>
      <c r="AJ2" s="34">
        <f>AF2/P2</f>
        <v/>
      </c>
      <c r="AK2" s="34">
        <f>SUM(AK3:AK9)</f>
        <v/>
      </c>
      <c r="AL2" s="34">
        <f>SUM(AL3:AL9)</f>
        <v/>
      </c>
      <c r="AM2" s="34">
        <f>SUM(AM3:AM9)</f>
        <v/>
      </c>
      <c r="AN2" s="34">
        <f>SUM(AN3:AN9)</f>
        <v/>
      </c>
      <c r="AO2" s="34">
        <f>SUM(AO3:AO9)</f>
        <v/>
      </c>
      <c r="AP2" s="34">
        <f>SUM(AP3:AP9)</f>
        <v/>
      </c>
      <c r="AQ2" s="35" t="n">
        <v>0</v>
      </c>
    </row>
    <row r="3" ht="14.35" customHeight="1" s="28">
      <c r="A3" s="38" t="inlineStr">
        <is>
          <t>2025-08-04</t>
        </is>
      </c>
      <c r="B3" s="16" t="inlineStr">
        <is>
          <t>Tales of Brave ios</t>
        </is>
      </c>
      <c r="C3" s="16" t="inlineStr">
        <is>
          <t>all</t>
        </is>
      </c>
      <c r="D3" s="39" t="n">
        <v>0</v>
      </c>
      <c r="E3" s="39" t="n">
        <v>85.598</v>
      </c>
      <c r="F3" s="40" t="n"/>
      <c r="G3" s="40" t="n"/>
      <c r="H3" s="39" t="n">
        <v>85.598</v>
      </c>
      <c r="I3" s="39" t="n">
        <v>75.32624</v>
      </c>
      <c r="J3" s="41" t="n">
        <v>0.1746897959183673</v>
      </c>
      <c r="K3" s="41" t="n">
        <v>0</v>
      </c>
      <c r="L3" s="16" t="n">
        <v>0</v>
      </c>
      <c r="M3" s="39" t="n">
        <v>0</v>
      </c>
      <c r="N3" s="41" t="n"/>
      <c r="O3" s="16" t="n">
        <v>22</v>
      </c>
      <c r="P3" s="16" t="n">
        <v>490</v>
      </c>
      <c r="Q3" s="39" t="n">
        <v>213</v>
      </c>
      <c r="R3" s="42" t="n">
        <v>22</v>
      </c>
      <c r="S3" s="43" t="n">
        <v>0.04131944444444444</v>
      </c>
      <c r="T3" s="39" t="n">
        <v>49.93</v>
      </c>
      <c r="U3" s="40" t="n"/>
      <c r="V3" s="41" t="n">
        <v>0.1018979591836735</v>
      </c>
      <c r="W3" s="39" t="n">
        <v>2.83265306122449</v>
      </c>
      <c r="X3" s="39" t="n">
        <v>0</v>
      </c>
      <c r="Y3" s="39" t="n">
        <v>0</v>
      </c>
      <c r="Z3" s="39" t="n">
        <v>49.93</v>
      </c>
      <c r="AA3" s="39" t="n">
        <v>0</v>
      </c>
      <c r="AB3" s="39" t="n">
        <v>0</v>
      </c>
      <c r="AC3" s="39" t="n">
        <v>35.97262247838616</v>
      </c>
      <c r="AD3" s="39" t="n"/>
      <c r="AE3" s="39" t="n"/>
      <c r="AF3" s="39" t="n">
        <v>35.668</v>
      </c>
      <c r="AG3" s="39" t="n">
        <v>8</v>
      </c>
      <c r="AH3" s="40" t="n"/>
      <c r="AI3" s="40" t="n">
        <v>0.0163265306122449</v>
      </c>
      <c r="AJ3" s="39" t="n">
        <v>0.07279183673469387</v>
      </c>
      <c r="AK3" s="44" t="n">
        <v>4.074</v>
      </c>
      <c r="AL3" s="44" t="n">
        <v>31.594</v>
      </c>
      <c r="AM3" s="44" t="n">
        <v>35.668</v>
      </c>
      <c r="AN3" s="44" t="n">
        <v>0</v>
      </c>
      <c r="AO3" s="44" t="n">
        <v>0</v>
      </c>
      <c r="AP3" s="39" t="n">
        <v>0</v>
      </c>
      <c r="AQ3" s="40" t="n">
        <v/>
      </c>
    </row>
    <row r="4" ht="14.35" customHeight="1" s="28">
      <c r="A4" s="45" t="inlineStr">
        <is>
          <t>2025-08-05</t>
        </is>
      </c>
      <c r="B4" s="22" t="inlineStr">
        <is>
          <t>Tales of Brave ios</t>
        </is>
      </c>
      <c r="C4" s="22" t="inlineStr">
        <is>
          <t>all</t>
        </is>
      </c>
      <c r="D4" s="46" t="n">
        <v>0</v>
      </c>
      <c r="E4" s="46" t="n">
        <v>135.471</v>
      </c>
      <c r="F4" s="47" t="n"/>
      <c r="G4" s="47" t="n"/>
      <c r="H4" s="46" t="n">
        <v>135.471</v>
      </c>
      <c r="I4" s="46" t="n">
        <v>119.21448</v>
      </c>
      <c r="J4" s="48" t="n">
        <v>0.2776045081967213</v>
      </c>
      <c r="K4" s="48" t="n">
        <v>0</v>
      </c>
      <c r="L4" s="22" t="n">
        <v>0</v>
      </c>
      <c r="M4" s="46" t="n">
        <v>0</v>
      </c>
      <c r="N4" s="48" t="n"/>
      <c r="O4" s="22" t="n">
        <v>30</v>
      </c>
      <c r="P4" s="22" t="n">
        <v>488</v>
      </c>
      <c r="Q4" s="46" t="n">
        <v>212</v>
      </c>
      <c r="R4" s="49" t="n">
        <v>30</v>
      </c>
      <c r="S4" s="50" t="n">
        <v>0.03127314814814815</v>
      </c>
      <c r="T4" s="46" t="n">
        <v>50.46</v>
      </c>
      <c r="U4" s="47" t="n"/>
      <c r="V4" s="48" t="n">
        <v>0.1034016393442623</v>
      </c>
      <c r="W4" s="46" t="n">
        <v>2.575819672131148</v>
      </c>
      <c r="X4" s="46" t="n">
        <v>0</v>
      </c>
      <c r="Y4" s="46" t="n">
        <v>0</v>
      </c>
      <c r="Z4" s="46" t="n">
        <v>50.46</v>
      </c>
      <c r="AA4" s="46" t="n">
        <v>0</v>
      </c>
      <c r="AB4" s="46" t="n">
        <v>0</v>
      </c>
      <c r="AC4" s="46" t="n">
        <v>40.14319809069212</v>
      </c>
      <c r="AD4" s="46" t="n"/>
      <c r="AE4" s="46" t="n"/>
      <c r="AF4" s="46" t="n">
        <v>85.011</v>
      </c>
      <c r="AG4" s="46" t="n">
        <v>14</v>
      </c>
      <c r="AH4" s="47" t="n"/>
      <c r="AI4" s="47" t="n">
        <v>0.02868852459016394</v>
      </c>
      <c r="AJ4" s="46" t="n">
        <v>0.174202868852459</v>
      </c>
      <c r="AK4" s="51" t="n">
        <v>2.53</v>
      </c>
      <c r="AL4" s="51" t="n">
        <v>82.48100000000001</v>
      </c>
      <c r="AM4" s="51" t="n">
        <v>85.01100000000001</v>
      </c>
      <c r="AN4" s="51" t="n">
        <v>0</v>
      </c>
      <c r="AO4" s="51" t="n">
        <v>0</v>
      </c>
      <c r="AP4" s="46" t="n">
        <v>0</v>
      </c>
      <c r="AQ4" s="47" t="n">
        <v/>
      </c>
    </row>
    <row r="5" ht="14.35" customHeight="1" s="28">
      <c r="A5" s="38" t="inlineStr">
        <is>
          <t>2025-08-06</t>
        </is>
      </c>
      <c r="B5" s="16" t="inlineStr">
        <is>
          <t>Tales of Brave ios</t>
        </is>
      </c>
      <c r="C5" s="16" t="inlineStr">
        <is>
          <t>all</t>
        </is>
      </c>
      <c r="D5" s="39" t="n">
        <v>0</v>
      </c>
      <c r="E5" s="39" t="n">
        <v>146.443</v>
      </c>
      <c r="F5" s="40" t="n"/>
      <c r="G5" s="40" t="n"/>
      <c r="H5" s="39" t="n">
        <v>146.443</v>
      </c>
      <c r="I5" s="39" t="n">
        <v>128.86984</v>
      </c>
      <c r="J5" s="41" t="n">
        <v>0.3057265135699374</v>
      </c>
      <c r="K5" s="41" t="n">
        <v>0</v>
      </c>
      <c r="L5" s="16" t="n">
        <v>0</v>
      </c>
      <c r="M5" s="39" t="n">
        <v>0</v>
      </c>
      <c r="N5" s="41" t="n"/>
      <c r="O5" s="16" t="n">
        <v>25</v>
      </c>
      <c r="P5" s="16" t="n">
        <v>479</v>
      </c>
      <c r="Q5" s="39" t="n">
        <v>207</v>
      </c>
      <c r="R5" s="42" t="n">
        <v>25</v>
      </c>
      <c r="S5" s="43" t="n">
        <v>0.03417824074074074</v>
      </c>
      <c r="T5" s="39" t="n">
        <v>54.62</v>
      </c>
      <c r="U5" s="40" t="n"/>
      <c r="V5" s="41" t="n">
        <v>0.1140292275574113</v>
      </c>
      <c r="W5" s="39" t="n">
        <v>2.768267223382046</v>
      </c>
      <c r="X5" s="39" t="n">
        <v>0</v>
      </c>
      <c r="Y5" s="39" t="n">
        <v>0</v>
      </c>
      <c r="Z5" s="39" t="n">
        <v>54.62</v>
      </c>
      <c r="AA5" s="39" t="n">
        <v>0</v>
      </c>
      <c r="AB5" s="39" t="n">
        <v>0</v>
      </c>
      <c r="AC5" s="39" t="n">
        <v>41.19155354449472</v>
      </c>
      <c r="AD5" s="39" t="n"/>
      <c r="AE5" s="39" t="n"/>
      <c r="AF5" s="39" t="n">
        <v>91.82300000000001</v>
      </c>
      <c r="AG5" s="39" t="n">
        <v>10</v>
      </c>
      <c r="AH5" s="40" t="n"/>
      <c r="AI5" s="40" t="n">
        <v>0.0208768267223382</v>
      </c>
      <c r="AJ5" s="39" t="n">
        <v>0.1916972860125261</v>
      </c>
      <c r="AK5" s="44" t="n">
        <v>10.433</v>
      </c>
      <c r="AL5" s="44" t="n">
        <v>81.39</v>
      </c>
      <c r="AM5" s="44" t="n">
        <v>91.82299999999999</v>
      </c>
      <c r="AN5" s="44" t="n">
        <v>0</v>
      </c>
      <c r="AO5" s="44" t="n">
        <v>0</v>
      </c>
      <c r="AP5" s="39" t="n">
        <v>0</v>
      </c>
      <c r="AQ5" s="40" t="n">
        <v/>
      </c>
    </row>
    <row r="6" ht="14.35" customHeight="1" s="28">
      <c r="A6" s="45" t="inlineStr">
        <is>
          <t>2025-08-07</t>
        </is>
      </c>
      <c r="B6" s="22" t="inlineStr">
        <is>
          <t>Tales of Brave ios</t>
        </is>
      </c>
      <c r="C6" s="22" t="inlineStr">
        <is>
          <t>all</t>
        </is>
      </c>
      <c r="D6" s="46" t="n">
        <v>0</v>
      </c>
      <c r="E6" s="46" t="n">
        <v>122.845</v>
      </c>
      <c r="F6" s="47" t="n"/>
      <c r="G6" s="47" t="n"/>
      <c r="H6" s="46" t="n">
        <v>122.845</v>
      </c>
      <c r="I6" s="46" t="n">
        <v>108.1036</v>
      </c>
      <c r="J6" s="48" t="n">
        <v>0.2729888888888889</v>
      </c>
      <c r="K6" s="48" t="n">
        <v>0</v>
      </c>
      <c r="L6" s="22" t="n">
        <v>0</v>
      </c>
      <c r="M6" s="46" t="n">
        <v>0</v>
      </c>
      <c r="N6" s="48" t="n"/>
      <c r="O6" s="22" t="n">
        <v>20</v>
      </c>
      <c r="P6" s="22" t="n">
        <v>450</v>
      </c>
      <c r="Q6" s="46" t="n">
        <v>189</v>
      </c>
      <c r="R6" s="49" t="n">
        <v>20</v>
      </c>
      <c r="S6" s="50" t="n">
        <v>0.03767361111111111</v>
      </c>
      <c r="T6" s="46" t="n">
        <v>46.23</v>
      </c>
      <c r="U6" s="47" t="n"/>
      <c r="V6" s="48" t="n">
        <v>0.1027333333333333</v>
      </c>
      <c r="W6" s="46" t="n">
        <v>2.713333333333333</v>
      </c>
      <c r="X6" s="46" t="n">
        <v>0</v>
      </c>
      <c r="Y6" s="46" t="n">
        <v>0</v>
      </c>
      <c r="Z6" s="46" t="n">
        <v>46.23</v>
      </c>
      <c r="AA6" s="46" t="n">
        <v>0</v>
      </c>
      <c r="AB6" s="46" t="n">
        <v>0</v>
      </c>
      <c r="AC6" s="46" t="n">
        <v>37.86240786240786</v>
      </c>
      <c r="AD6" s="46" t="n"/>
      <c r="AE6" s="46" t="n"/>
      <c r="AF6" s="46" t="n">
        <v>76.61500000000001</v>
      </c>
      <c r="AG6" s="46" t="n">
        <v>14</v>
      </c>
      <c r="AH6" s="47" t="n"/>
      <c r="AI6" s="47" t="n">
        <v>0.03111111111111111</v>
      </c>
      <c r="AJ6" s="46" t="n">
        <v>0.1702555555555556</v>
      </c>
      <c r="AK6" s="51" t="n">
        <v>0.612</v>
      </c>
      <c r="AL6" s="51" t="n">
        <v>76.00299999999999</v>
      </c>
      <c r="AM6" s="51" t="n">
        <v>76.61499999999999</v>
      </c>
      <c r="AN6" s="51" t="n">
        <v>0</v>
      </c>
      <c r="AO6" s="51" t="n">
        <v>0</v>
      </c>
      <c r="AP6" s="46" t="n">
        <v>0</v>
      </c>
      <c r="AQ6" s="47" t="n">
        <v/>
      </c>
    </row>
    <row r="7" ht="14.35" customHeight="1" s="28">
      <c r="A7" s="38" t="inlineStr">
        <is>
          <t>2025-08-08</t>
        </is>
      </c>
      <c r="B7" s="16" t="inlineStr">
        <is>
          <t>Tales of Brave ios</t>
        </is>
      </c>
      <c r="C7" s="16" t="inlineStr">
        <is>
          <t>all</t>
        </is>
      </c>
      <c r="D7" s="39" t="n">
        <v>0</v>
      </c>
      <c r="E7" s="39" t="n">
        <v>136.155</v>
      </c>
      <c r="F7" s="40" t="n"/>
      <c r="G7" s="40" t="n"/>
      <c r="H7" s="39" t="n">
        <v>136.155</v>
      </c>
      <c r="I7" s="39" t="n">
        <v>119.8164</v>
      </c>
      <c r="J7" s="41" t="n">
        <v>0.2972816593886463</v>
      </c>
      <c r="K7" s="41" t="n">
        <v>0</v>
      </c>
      <c r="L7" s="16" t="n">
        <v>0</v>
      </c>
      <c r="M7" s="39" t="n">
        <v>0</v>
      </c>
      <c r="N7" s="41" t="n"/>
      <c r="O7" s="16" t="n">
        <v>26</v>
      </c>
      <c r="P7" s="16" t="n">
        <v>458</v>
      </c>
      <c r="Q7" s="39" t="n">
        <v>192</v>
      </c>
      <c r="R7" s="42" t="n">
        <v>26</v>
      </c>
      <c r="S7" s="43" t="n">
        <v>0.03392361111111111</v>
      </c>
      <c r="T7" s="39" t="n">
        <v>46.78</v>
      </c>
      <c r="U7" s="40" t="n"/>
      <c r="V7" s="41" t="n">
        <v>0.1021397379912664</v>
      </c>
      <c r="W7" s="39" t="n">
        <v>2.580786026200873</v>
      </c>
      <c r="X7" s="39" t="n">
        <v>0</v>
      </c>
      <c r="Y7" s="39" t="n">
        <v>0</v>
      </c>
      <c r="Z7" s="39" t="n">
        <v>46.78</v>
      </c>
      <c r="AA7" s="39" t="n">
        <v>0</v>
      </c>
      <c r="AB7" s="39" t="n">
        <v>0</v>
      </c>
      <c r="AC7" s="39" t="n">
        <v>39.57698815566836</v>
      </c>
      <c r="AD7" s="39" t="n"/>
      <c r="AE7" s="39" t="n"/>
      <c r="AF7" s="39" t="n">
        <v>89.375</v>
      </c>
      <c r="AG7" s="39" t="n">
        <v>9</v>
      </c>
      <c r="AH7" s="40" t="n"/>
      <c r="AI7" s="40" t="n">
        <v>0.01965065502183406</v>
      </c>
      <c r="AJ7" s="39" t="n">
        <v>0.1951419213973799</v>
      </c>
      <c r="AK7" s="44" t="n">
        <v>13.979</v>
      </c>
      <c r="AL7" s="44" t="n">
        <v>75.396</v>
      </c>
      <c r="AM7" s="44" t="n">
        <v>89.375</v>
      </c>
      <c r="AN7" s="44" t="n">
        <v>0</v>
      </c>
      <c r="AO7" s="44" t="n">
        <v>0</v>
      </c>
      <c r="AP7" s="39" t="n">
        <v>0</v>
      </c>
      <c r="AQ7" s="40" t="n">
        <v/>
      </c>
    </row>
    <row r="8" ht="14.35" customHeight="1" s="28">
      <c r="A8" s="45" t="inlineStr">
        <is>
          <t>2025-08-09</t>
        </is>
      </c>
      <c r="B8" s="22" t="inlineStr">
        <is>
          <t>Tales of Brave ios</t>
        </is>
      </c>
      <c r="C8" s="22" t="inlineStr">
        <is>
          <t>all</t>
        </is>
      </c>
      <c r="D8" s="46" t="n">
        <v>0</v>
      </c>
      <c r="E8" s="46" t="n">
        <v>154.405</v>
      </c>
      <c r="F8" s="47" t="n"/>
      <c r="G8" s="47" t="n"/>
      <c r="H8" s="46" t="n">
        <v>154.405</v>
      </c>
      <c r="I8" s="46" t="n">
        <v>135.8764</v>
      </c>
      <c r="J8" s="48" t="n">
        <v>0.3327693965517241</v>
      </c>
      <c r="K8" s="48" t="n">
        <v>0</v>
      </c>
      <c r="L8" s="22" t="n">
        <v>0</v>
      </c>
      <c r="M8" s="46" t="n">
        <v>0</v>
      </c>
      <c r="N8" s="48" t="n"/>
      <c r="O8" s="22" t="n">
        <v>29</v>
      </c>
      <c r="P8" s="22" t="n">
        <v>464</v>
      </c>
      <c r="Q8" s="46" t="n">
        <v>194</v>
      </c>
      <c r="R8" s="49" t="n">
        <v>29</v>
      </c>
      <c r="S8" s="50" t="n">
        <v>0.03216435185185185</v>
      </c>
      <c r="T8" s="46" t="n">
        <v>51.79</v>
      </c>
      <c r="U8" s="47" t="n"/>
      <c r="V8" s="48" t="n">
        <v>0.1116163793103448</v>
      </c>
      <c r="W8" s="46" t="n">
        <v>2.672413793103448</v>
      </c>
      <c r="X8" s="46" t="n">
        <v>0</v>
      </c>
      <c r="Y8" s="46" t="n">
        <v>0</v>
      </c>
      <c r="Z8" s="46" t="n">
        <v>51.79</v>
      </c>
      <c r="AA8" s="46" t="n">
        <v>0</v>
      </c>
      <c r="AB8" s="46" t="n">
        <v>0</v>
      </c>
      <c r="AC8" s="46" t="n">
        <v>41.76612903225806</v>
      </c>
      <c r="AD8" s="46" t="n"/>
      <c r="AE8" s="46" t="n"/>
      <c r="AF8" s="46" t="n">
        <v>102.615</v>
      </c>
      <c r="AG8" s="46" t="n">
        <v>12</v>
      </c>
      <c r="AH8" s="47" t="n"/>
      <c r="AI8" s="47" t="n">
        <v>0.02586206896551724</v>
      </c>
      <c r="AJ8" s="46" t="n">
        <v>0.2211530172413793</v>
      </c>
      <c r="AK8" s="51" t="n">
        <v>0.612</v>
      </c>
      <c r="AL8" s="51" t="n">
        <v>102.003</v>
      </c>
      <c r="AM8" s="51" t="n">
        <v>102.615</v>
      </c>
      <c r="AN8" s="51" t="n">
        <v>0</v>
      </c>
      <c r="AO8" s="51" t="n">
        <v>0</v>
      </c>
      <c r="AP8" s="46" t="n">
        <v>0</v>
      </c>
      <c r="AQ8" s="47" t="n">
        <v/>
      </c>
    </row>
    <row r="9" ht="14.35" customHeight="1" s="28">
      <c r="A9" s="38" t="inlineStr">
        <is>
          <t>2025-08-10</t>
        </is>
      </c>
      <c r="B9" s="16" t="inlineStr">
        <is>
          <t>Tales of Brave ios</t>
        </is>
      </c>
      <c r="C9" s="16" t="inlineStr">
        <is>
          <t>all</t>
        </is>
      </c>
      <c r="D9" s="39" t="n">
        <v>0</v>
      </c>
      <c r="E9" s="39" t="n">
        <v>213.648</v>
      </c>
      <c r="F9" s="40" t="n"/>
      <c r="G9" s="40" t="n"/>
      <c r="H9" s="39" t="n">
        <v>213.648</v>
      </c>
      <c r="I9" s="39" t="n">
        <v>188.01024</v>
      </c>
      <c r="J9" s="41" t="n">
        <v>0.4324858299595142</v>
      </c>
      <c r="K9" s="41" t="n">
        <v>0</v>
      </c>
      <c r="L9" s="16" t="n">
        <v>0</v>
      </c>
      <c r="M9" s="39" t="n">
        <v>0</v>
      </c>
      <c r="N9" s="41" t="n"/>
      <c r="O9" s="16" t="n">
        <v>46</v>
      </c>
      <c r="P9" s="16" t="n">
        <v>494</v>
      </c>
      <c r="Q9" s="39" t="n">
        <v>194</v>
      </c>
      <c r="R9" s="42" t="n">
        <v>46</v>
      </c>
      <c r="S9" s="43" t="n">
        <v>0.04121527777777778</v>
      </c>
      <c r="T9" s="39" t="n">
        <v>68</v>
      </c>
      <c r="U9" s="40" t="n"/>
      <c r="V9" s="41" t="n">
        <v>0.1376518218623482</v>
      </c>
      <c r="W9" s="39" t="n">
        <v>2.44331983805668</v>
      </c>
      <c r="X9" s="39" t="n">
        <v>0</v>
      </c>
      <c r="Y9" s="39" t="n">
        <v>0</v>
      </c>
      <c r="Z9" s="39" t="n">
        <v>68</v>
      </c>
      <c r="AA9" s="39" t="n">
        <v>0</v>
      </c>
      <c r="AB9" s="39" t="n">
        <v>0</v>
      </c>
      <c r="AC9" s="39" t="n">
        <v>56.33802816901409</v>
      </c>
      <c r="AD9" s="39" t="n"/>
      <c r="AE9" s="39" t="n"/>
      <c r="AF9" s="39" t="n">
        <v>145.648</v>
      </c>
      <c r="AG9" s="39" t="n">
        <v>15</v>
      </c>
      <c r="AH9" s="40" t="n"/>
      <c r="AI9" s="40" t="n">
        <v>0.03036437246963563</v>
      </c>
      <c r="AJ9" s="39" t="n">
        <v>0.294834008097166</v>
      </c>
      <c r="AK9" s="44" t="n">
        <v>32.916</v>
      </c>
      <c r="AL9" s="44" t="n">
        <v>112.732</v>
      </c>
      <c r="AM9" s="44" t="n">
        <v>145.648</v>
      </c>
      <c r="AN9" s="44" t="n">
        <v>0</v>
      </c>
      <c r="AO9" s="44" t="n">
        <v>0</v>
      </c>
      <c r="AP9" s="39" t="n">
        <v>0</v>
      </c>
      <c r="AQ9" s="40" t="n">
        <v/>
      </c>
    </row>
  </sheetData>
  <pageMargins left="0.75" right="0.75" top="0.2689999938011169" bottom="0.268999993801116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2024-07-12T07:02:26Z</dcterms:created>
  <dcterms:modified xmlns:dcterms="http://purl.org/dc/terms/" xmlns:xsi="http://www.w3.org/2001/XMLSchema-instance" xsi:type="dcterms:W3CDTF">2025-04-14T04:10:47Z</dcterms:modified>
  <cp:lastModifiedBy>administrator</cp:lastModifiedBy>
</cp:coreProperties>
</file>