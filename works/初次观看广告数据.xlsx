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imili\works\"/>
    </mc:Choice>
  </mc:AlternateContent>
  <xr:revisionPtr revIDLastSave="0" documentId="13_ncr:1_{4EA2A260-814D-4436-8A68-B2524A44B535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</calcChain>
</file>

<file path=xl/sharedStrings.xml><?xml version="1.0" encoding="utf-8"?>
<sst xmlns="http://schemas.openxmlformats.org/spreadsheetml/2006/main" count="153" uniqueCount="56">
  <si>
    <t>广告场景</t>
  </si>
  <si>
    <t>通用广告奖励类型</t>
  </si>
  <si>
    <t>资源类型</t>
  </si>
  <si>
    <t>金币余额</t>
  </si>
  <si>
    <t>绿币余额</t>
  </si>
  <si>
    <t>累计游戏场次</t>
  </si>
  <si>
    <t>通用奖励数量</t>
  </si>
  <si>
    <t>ad_video_cashgame_num</t>
  </si>
  <si>
    <t>ad_video_checkin_double</t>
  </si>
  <si>
    <t>ad_video_checkin_remedy</t>
  </si>
  <si>
    <t>ad_video_details_bingo</t>
  </si>
  <si>
    <t>ad_video_details_powerup</t>
  </si>
  <si>
    <t>ad_video_gift_ad</t>
  </si>
  <si>
    <t>ad_video_login_recovery</t>
  </si>
  <si>
    <t>ad_video_popup_bonus</t>
  </si>
  <si>
    <t>ad_video_popup_powerup</t>
  </si>
  <si>
    <t>ad_video_starfish</t>
  </si>
  <si>
    <t>ad_video_wild</t>
  </si>
  <si>
    <t>任务奖励</t>
  </si>
  <si>
    <t>标记海星</t>
  </si>
  <si>
    <t>礼物-在线奖励</t>
  </si>
  <si>
    <t>绿币</t>
  </si>
  <si>
    <t>金币</t>
  </si>
  <si>
    <t>用户数</t>
    <phoneticPr fontId="3" type="noConversion"/>
  </si>
  <si>
    <t>注册用户数</t>
    <phoneticPr fontId="3" type="noConversion"/>
  </si>
  <si>
    <t>广告场景名称</t>
    <phoneticPr fontId="3" type="noConversion"/>
  </si>
  <si>
    <t>-</t>
    <phoneticPr fontId="3" type="noConversion"/>
  </si>
  <si>
    <t>未说明</t>
    <phoneticPr fontId="3" type="noConversion"/>
  </si>
  <si>
    <t>占比</t>
    <phoneticPr fontId="3" type="noConversion"/>
  </si>
  <si>
    <t>bingo场次详情弹窗中获取10个道具</t>
  </si>
  <si>
    <t>bingo场次详情弹窗中看广告开启比赛</t>
  </si>
  <si>
    <t>bingo额外wild技能广告</t>
  </si>
  <si>
    <t>7日签到补签广告</t>
  </si>
  <si>
    <t>7日签到双倍奖励广告</t>
  </si>
  <si>
    <t>登录奖励恢复连续登录</t>
  </si>
  <si>
    <t>礼物界面领取广告奖励</t>
  </si>
  <si>
    <t>cash game获得幸运数字</t>
  </si>
  <si>
    <t>bingo场次中广告获取道具的弹窗</t>
  </si>
  <si>
    <t>通用翻倍奖励</t>
  </si>
  <si>
    <t>看广告开启活动场次-海星之旅</t>
  </si>
  <si>
    <t>ad_video_coin_tree</t>
  </si>
  <si>
    <t>看广告开启活动场次-大魔豆</t>
  </si>
  <si>
    <t>ad_video_auto_withdraw</t>
  </si>
  <si>
    <t>自动提现</t>
  </si>
  <si>
    <t>ad_insert_rank</t>
  </si>
  <si>
    <t>有奖励的情况下从结算排行榜点击返回大厅。</t>
  </si>
  <si>
    <t>ad_insert_login_close</t>
  </si>
  <si>
    <t>登录奖励断签且不补签，关闭整个登录奖励界面时。</t>
  </si>
  <si>
    <t>ad_insert_gift_online</t>
  </si>
  <si>
    <t>礼物界面领取在线奖励，飞金币动画播放完后。</t>
  </si>
  <si>
    <t>ad_insert_cashgame_claim</t>
  </si>
  <si>
    <t>cash game领取了绿币奖励，且没有翻倍时</t>
  </si>
  <si>
    <t>ad_insert_task</t>
  </si>
  <si>
    <t>在任务界面领取了任意奖励后点击左上角返回按钮返回大厅</t>
  </si>
  <si>
    <t>ad_insert_withdraw</t>
  </si>
  <si>
    <t>人工审核提现信息提交成功以后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</si>
</sst>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1F232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F54A4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0" fontId="1" fillId="0" borderId="2" xfId="1" applyNumberFormat="1" applyFont="1" applyFill="1" applyBorder="1" applyAlignment="1">
      <alignment horizontal="center" vertical="top"/>
    </xf>
    <xf numFmtId="10" fontId="0" fillId="0" borderId="0" xfId="1" applyNumberFormat="1" applyFont="1" applyAlignment="1"/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B2" sqref="B2:B29"/>
    </sheetView>
  </sheetViews>
  <sheetFormatPr defaultRowHeight="13.5" x14ac:dyDescent="0.3"/>
  <cols>
    <col min="1" max="1" width="21.59765625" customWidth="1"/>
    <col min="2" max="2" width="23.19921875" customWidth="1"/>
    <col min="3" max="3" width="18.265625" customWidth="1"/>
    <col min="9" max="9" width="13.46484375" customWidth="1"/>
    <col min="10" max="10" width="13.6640625" customWidth="1"/>
    <col min="11" max="11" width="9.06640625" style="4"/>
  </cols>
  <sheetData>
    <row r="1" spans="1:11" x14ac:dyDescent="0.3">
      <c r="A1" s="1" t="s">
        <v>0</v>
      </c>
      <c r="B1" s="1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23</v>
      </c>
      <c r="J1" s="2" t="s">
        <v>24</v>
      </c>
      <c r="K1" s="3" t="s">
        <v>28</v>
      </c>
    </row>
    <row r="2" spans="1:11" x14ac:dyDescent="0.3">
      <c r="A2" t="s">
        <v>7</v>
      </c>
      <c r="B2" t="str">
        <f>VLOOKUP(A2,Sheet2!A:B,2,FALSE)</f>
        <v>cash game获得幸运数字</v>
      </c>
      <c r="C2" t="s">
        <v>26</v>
      </c>
      <c r="D2" t="s">
        <v>21</v>
      </c>
      <c r="E2">
        <v>897865.13157894742</v>
      </c>
      <c r="F2">
        <v>2.1310526315789469</v>
      </c>
      <c r="G2">
        <v>1.5263157894736841</v>
      </c>
      <c r="H2" t="s">
        <v>26</v>
      </c>
      <c r="I2">
        <v>304</v>
      </c>
      <c r="J2">
        <v>12077</v>
      </c>
      <c r="K2" s="4">
        <f>I2/J2</f>
        <v>2.517181419226629E-2</v>
      </c>
    </row>
    <row r="3" spans="1:11" x14ac:dyDescent="0.3">
      <c r="A3" t="s">
        <v>7</v>
      </c>
      <c r="B3" t="str">
        <f>VLOOKUP(A3,Sheet2!A:B,2,FALSE)</f>
        <v>cash game获得幸运数字</v>
      </c>
      <c r="C3" t="s">
        <v>26</v>
      </c>
      <c r="D3" t="s">
        <v>22</v>
      </c>
      <c r="E3">
        <v>1056314.2857142859</v>
      </c>
      <c r="F3">
        <v>0.71342857142857141</v>
      </c>
      <c r="G3">
        <v>0.65714285714285714</v>
      </c>
      <c r="H3" t="s">
        <v>26</v>
      </c>
      <c r="I3">
        <v>35</v>
      </c>
      <c r="J3">
        <v>12077</v>
      </c>
      <c r="K3" s="4">
        <f t="shared" ref="K3:K29" si="0">I3/J3</f>
        <v>2.8980707129253954E-3</v>
      </c>
    </row>
    <row r="4" spans="1:11" x14ac:dyDescent="0.3">
      <c r="A4" t="s">
        <v>8</v>
      </c>
      <c r="B4" t="str">
        <f>VLOOKUP(A4,Sheet2!A:B,2,FALSE)</f>
        <v>7日签到双倍奖励广告</v>
      </c>
      <c r="C4" t="s">
        <v>26</v>
      </c>
      <c r="D4" t="s">
        <v>21</v>
      </c>
      <c r="E4">
        <v>790197.6481481482</v>
      </c>
      <c r="F4">
        <v>1.6607407407407411</v>
      </c>
      <c r="G4">
        <v>0</v>
      </c>
      <c r="H4" t="s">
        <v>26</v>
      </c>
      <c r="I4">
        <v>54</v>
      </c>
      <c r="J4">
        <v>12077</v>
      </c>
      <c r="K4" s="4">
        <f t="shared" si="0"/>
        <v>4.4713090999420387E-3</v>
      </c>
    </row>
    <row r="5" spans="1:11" x14ac:dyDescent="0.3">
      <c r="A5" t="s">
        <v>8</v>
      </c>
      <c r="B5" t="str">
        <f>VLOOKUP(A5,Sheet2!A:B,2,FALSE)</f>
        <v>7日签到双倍奖励广告</v>
      </c>
      <c r="C5" t="s">
        <v>26</v>
      </c>
      <c r="D5" t="s">
        <v>22</v>
      </c>
      <c r="E5">
        <v>505857.14285714278</v>
      </c>
      <c r="F5">
        <v>0.31571428571428573</v>
      </c>
      <c r="G5">
        <v>0</v>
      </c>
      <c r="H5" t="s">
        <v>26</v>
      </c>
      <c r="I5">
        <v>7</v>
      </c>
      <c r="J5">
        <v>12077</v>
      </c>
      <c r="K5" s="4">
        <f t="shared" si="0"/>
        <v>5.7961414258507905E-4</v>
      </c>
    </row>
    <row r="6" spans="1:11" x14ac:dyDescent="0.3">
      <c r="A6" t="s">
        <v>9</v>
      </c>
      <c r="B6" t="str">
        <f>VLOOKUP(A6,Sheet2!A:B,2,FALSE)</f>
        <v>7日签到补签广告</v>
      </c>
      <c r="C6" t="s">
        <v>26</v>
      </c>
      <c r="D6" t="s">
        <v>21</v>
      </c>
      <c r="E6">
        <v>597760.86956521741</v>
      </c>
      <c r="F6">
        <v>2.1319565217391299</v>
      </c>
      <c r="G6">
        <v>0</v>
      </c>
      <c r="H6" t="s">
        <v>26</v>
      </c>
      <c r="I6">
        <v>46</v>
      </c>
      <c r="J6">
        <v>12077</v>
      </c>
      <c r="K6" s="4">
        <f t="shared" si="0"/>
        <v>3.8088929369876623E-3</v>
      </c>
    </row>
    <row r="7" spans="1:11" x14ac:dyDescent="0.3">
      <c r="A7" t="s">
        <v>9</v>
      </c>
      <c r="B7" t="str">
        <f>VLOOKUP(A7,Sheet2!A:B,2,FALSE)</f>
        <v>7日签到补签广告</v>
      </c>
      <c r="C7" t="s">
        <v>26</v>
      </c>
      <c r="D7" t="s">
        <v>22</v>
      </c>
      <c r="E7">
        <v>605000</v>
      </c>
      <c r="F7">
        <v>1.3442857142857141</v>
      </c>
      <c r="G7">
        <v>0</v>
      </c>
      <c r="H7" t="s">
        <v>26</v>
      </c>
      <c r="I7">
        <v>7</v>
      </c>
      <c r="J7">
        <v>12077</v>
      </c>
      <c r="K7" s="4">
        <f t="shared" si="0"/>
        <v>5.7961414258507905E-4</v>
      </c>
    </row>
    <row r="8" spans="1:11" x14ac:dyDescent="0.3">
      <c r="A8" t="s">
        <v>10</v>
      </c>
      <c r="B8" t="str">
        <f>VLOOKUP(A8,Sheet2!A:B,2,FALSE)</f>
        <v>bingo场次详情弹窗中看广告开启比赛</v>
      </c>
      <c r="C8" t="s">
        <v>26</v>
      </c>
      <c r="D8" t="s">
        <v>21</v>
      </c>
      <c r="E8">
        <v>825408.45070422534</v>
      </c>
      <c r="F8">
        <v>1.674225352112676</v>
      </c>
      <c r="G8">
        <v>1.4741784037558689</v>
      </c>
      <c r="H8" t="s">
        <v>26</v>
      </c>
      <c r="I8">
        <v>213</v>
      </c>
      <c r="J8">
        <v>12077</v>
      </c>
      <c r="K8" s="4">
        <f t="shared" si="0"/>
        <v>1.7636830338660262E-2</v>
      </c>
    </row>
    <row r="9" spans="1:11" x14ac:dyDescent="0.3">
      <c r="A9" t="s">
        <v>10</v>
      </c>
      <c r="B9" t="str">
        <f>VLOOKUP(A9,Sheet2!A:B,2,FALSE)</f>
        <v>bingo场次详情弹窗中看广告开启比赛</v>
      </c>
      <c r="C9" t="s">
        <v>26</v>
      </c>
      <c r="D9" t="s">
        <v>22</v>
      </c>
      <c r="E9">
        <v>956477.77777777775</v>
      </c>
      <c r="F9">
        <v>0.2118888888888889</v>
      </c>
      <c r="G9">
        <v>0.94444444444444442</v>
      </c>
      <c r="H9" t="s">
        <v>26</v>
      </c>
      <c r="I9">
        <v>90</v>
      </c>
      <c r="J9">
        <v>12077</v>
      </c>
      <c r="K9" s="4">
        <f t="shared" si="0"/>
        <v>7.4521818332367309E-3</v>
      </c>
    </row>
    <row r="10" spans="1:11" x14ac:dyDescent="0.3">
      <c r="A10" t="s">
        <v>11</v>
      </c>
      <c r="B10" t="str">
        <f>VLOOKUP(A10,Sheet2!A:B,2,FALSE)</f>
        <v>bingo场次详情弹窗中获取10个道具</v>
      </c>
      <c r="C10" t="s">
        <v>26</v>
      </c>
      <c r="D10" t="s">
        <v>21</v>
      </c>
      <c r="E10">
        <v>765071.90291262139</v>
      </c>
      <c r="F10">
        <v>2.180582524271844</v>
      </c>
      <c r="G10">
        <v>1.4854368932038839</v>
      </c>
      <c r="H10" t="s">
        <v>26</v>
      </c>
      <c r="I10">
        <v>206</v>
      </c>
      <c r="J10">
        <v>12077</v>
      </c>
      <c r="K10" s="4">
        <f t="shared" si="0"/>
        <v>1.7057216196075184E-2</v>
      </c>
    </row>
    <row r="11" spans="1:11" x14ac:dyDescent="0.3">
      <c r="A11" t="s">
        <v>11</v>
      </c>
      <c r="B11" t="str">
        <f>VLOOKUP(A11,Sheet2!A:B,2,FALSE)</f>
        <v>bingo场次详情弹窗中获取10个道具</v>
      </c>
      <c r="C11" t="s">
        <v>26</v>
      </c>
      <c r="D11" t="s">
        <v>22</v>
      </c>
      <c r="E11">
        <v>1428103.448275862</v>
      </c>
      <c r="F11">
        <v>0.216551724137931</v>
      </c>
      <c r="G11">
        <v>1.2068965517241379</v>
      </c>
      <c r="H11" t="s">
        <v>26</v>
      </c>
      <c r="I11">
        <v>29</v>
      </c>
      <c r="J11">
        <v>12077</v>
      </c>
      <c r="K11" s="4">
        <f t="shared" si="0"/>
        <v>2.4012585907096135E-3</v>
      </c>
    </row>
    <row r="12" spans="1:11" x14ac:dyDescent="0.3">
      <c r="A12" t="s">
        <v>12</v>
      </c>
      <c r="B12" t="str">
        <f>VLOOKUP(A12,Sheet2!A:B,2,FALSE)</f>
        <v>礼物界面领取广告奖励</v>
      </c>
      <c r="C12" t="s">
        <v>26</v>
      </c>
      <c r="D12" t="s">
        <v>21</v>
      </c>
      <c r="E12">
        <v>836502.77777777775</v>
      </c>
      <c r="F12">
        <v>2.7907070707070698</v>
      </c>
      <c r="G12">
        <v>1.5151515151515149</v>
      </c>
      <c r="H12" t="s">
        <v>26</v>
      </c>
      <c r="I12">
        <v>99</v>
      </c>
      <c r="J12">
        <v>12077</v>
      </c>
      <c r="K12" s="4">
        <f t="shared" si="0"/>
        <v>8.1974000165604046E-3</v>
      </c>
    </row>
    <row r="13" spans="1:11" x14ac:dyDescent="0.3">
      <c r="A13" t="s">
        <v>12</v>
      </c>
      <c r="B13" t="str">
        <f>VLOOKUP(A13,Sheet2!A:B,2,FALSE)</f>
        <v>礼物界面领取广告奖励</v>
      </c>
      <c r="C13" t="s">
        <v>26</v>
      </c>
      <c r="D13" t="s">
        <v>22</v>
      </c>
      <c r="E13">
        <v>564317.28571428568</v>
      </c>
      <c r="F13">
        <v>0.59285714285714275</v>
      </c>
      <c r="G13">
        <v>0.8571428571428571</v>
      </c>
      <c r="H13" t="s">
        <v>26</v>
      </c>
      <c r="I13">
        <v>7</v>
      </c>
      <c r="J13">
        <v>12077</v>
      </c>
      <c r="K13" s="4">
        <f t="shared" si="0"/>
        <v>5.7961414258507905E-4</v>
      </c>
    </row>
    <row r="14" spans="1:11" x14ac:dyDescent="0.3">
      <c r="A14" t="s">
        <v>13</v>
      </c>
      <c r="B14" t="str">
        <f>VLOOKUP(A14,Sheet2!A:B,2,FALSE)</f>
        <v>登录奖励恢复连续登录</v>
      </c>
      <c r="C14" t="s">
        <v>26</v>
      </c>
      <c r="D14" t="s">
        <v>21</v>
      </c>
      <c r="E14">
        <v>563277.77777777775</v>
      </c>
      <c r="F14">
        <v>3.18</v>
      </c>
      <c r="G14">
        <v>0</v>
      </c>
      <c r="H14" t="s">
        <v>26</v>
      </c>
      <c r="I14">
        <v>18</v>
      </c>
      <c r="J14">
        <v>12077</v>
      </c>
      <c r="K14" s="4">
        <f t="shared" si="0"/>
        <v>1.4904363666473461E-3</v>
      </c>
    </row>
    <row r="15" spans="1:11" x14ac:dyDescent="0.3">
      <c r="A15" t="s">
        <v>13</v>
      </c>
      <c r="B15" t="str">
        <f>VLOOKUP(A15,Sheet2!A:B,2,FALSE)</f>
        <v>登录奖励恢复连续登录</v>
      </c>
      <c r="C15" t="s">
        <v>26</v>
      </c>
      <c r="D15" t="s">
        <v>22</v>
      </c>
      <c r="E15">
        <v>560000</v>
      </c>
      <c r="F15">
        <v>0</v>
      </c>
      <c r="G15">
        <v>0</v>
      </c>
      <c r="H15" t="s">
        <v>26</v>
      </c>
      <c r="I15">
        <v>1</v>
      </c>
      <c r="J15">
        <v>12077</v>
      </c>
      <c r="K15" s="4">
        <f t="shared" si="0"/>
        <v>8.2802020369297013E-5</v>
      </c>
    </row>
    <row r="16" spans="1:11" x14ac:dyDescent="0.3">
      <c r="A16" t="s">
        <v>15</v>
      </c>
      <c r="B16" t="str">
        <f>VLOOKUP(A16,Sheet2!A:B,2,FALSE)</f>
        <v>bingo场次中广告获取道具的弹窗</v>
      </c>
      <c r="C16" t="s">
        <v>26</v>
      </c>
      <c r="D16" t="s">
        <v>21</v>
      </c>
      <c r="E16">
        <v>804277.77777777775</v>
      </c>
      <c r="F16">
        <v>3.0877777777777782</v>
      </c>
      <c r="G16">
        <v>5.5</v>
      </c>
      <c r="H16" t="s">
        <v>26</v>
      </c>
      <c r="I16">
        <v>54</v>
      </c>
      <c r="J16">
        <v>12077</v>
      </c>
      <c r="K16" s="4">
        <f t="shared" si="0"/>
        <v>4.4713090999420387E-3</v>
      </c>
    </row>
    <row r="17" spans="1:11" x14ac:dyDescent="0.3">
      <c r="A17" t="s">
        <v>15</v>
      </c>
      <c r="B17" t="str">
        <f>VLOOKUP(A17,Sheet2!A:B,2,FALSE)</f>
        <v>bingo场次中广告获取道具的弹窗</v>
      </c>
      <c r="C17" t="s">
        <v>26</v>
      </c>
      <c r="D17" t="s">
        <v>22</v>
      </c>
      <c r="E17">
        <v>2236500</v>
      </c>
      <c r="F17">
        <v>0.54833333333333334</v>
      </c>
      <c r="G17">
        <v>3.833333333333333</v>
      </c>
      <c r="H17" t="s">
        <v>26</v>
      </c>
      <c r="I17">
        <v>6</v>
      </c>
      <c r="J17">
        <v>12077</v>
      </c>
      <c r="K17" s="4">
        <f t="shared" si="0"/>
        <v>4.968121222157821E-4</v>
      </c>
    </row>
    <row r="18" spans="1:11" x14ac:dyDescent="0.3">
      <c r="A18" t="s">
        <v>16</v>
      </c>
      <c r="B18" t="str">
        <f>VLOOKUP(A18,Sheet2!A:B,2,FALSE)</f>
        <v>看广告开启活动场次-海星之旅</v>
      </c>
      <c r="C18" t="s">
        <v>26</v>
      </c>
      <c r="D18" t="s">
        <v>21</v>
      </c>
      <c r="E18">
        <v>868400.19800332782</v>
      </c>
      <c r="F18">
        <v>2.3697587354409322</v>
      </c>
      <c r="G18">
        <v>2.0590682196339429</v>
      </c>
      <c r="H18" t="s">
        <v>26</v>
      </c>
      <c r="I18">
        <v>1202</v>
      </c>
      <c r="J18">
        <v>12077</v>
      </c>
      <c r="K18" s="4">
        <f t="shared" si="0"/>
        <v>9.9528028483895012E-2</v>
      </c>
    </row>
    <row r="19" spans="1:11" x14ac:dyDescent="0.3">
      <c r="A19" t="s">
        <v>16</v>
      </c>
      <c r="B19" t="str">
        <f>VLOOKUP(A19,Sheet2!A:B,2,FALSE)</f>
        <v>看广告开启活动场次-海星之旅</v>
      </c>
      <c r="C19" t="s">
        <v>26</v>
      </c>
      <c r="D19" t="s">
        <v>22</v>
      </c>
      <c r="E19">
        <v>829663.15789473685</v>
      </c>
      <c r="F19">
        <v>1.6668421052631579</v>
      </c>
      <c r="G19">
        <v>1.4210526315789469</v>
      </c>
      <c r="H19" t="s">
        <v>26</v>
      </c>
      <c r="I19">
        <v>95</v>
      </c>
      <c r="J19">
        <v>12077</v>
      </c>
      <c r="K19" s="4">
        <f t="shared" si="0"/>
        <v>7.8661919350832155E-3</v>
      </c>
    </row>
    <row r="20" spans="1:11" x14ac:dyDescent="0.3">
      <c r="A20" t="s">
        <v>17</v>
      </c>
      <c r="B20" t="str">
        <f>VLOOKUP(A20,Sheet2!A:B,2,FALSE)</f>
        <v>bingo额外wild技能广告</v>
      </c>
      <c r="C20" t="s">
        <v>26</v>
      </c>
      <c r="D20" t="s">
        <v>21</v>
      </c>
      <c r="E20">
        <v>643248.34812547814</v>
      </c>
      <c r="F20">
        <v>1.7104437643458299</v>
      </c>
      <c r="G20">
        <v>2.0841622035195102</v>
      </c>
      <c r="H20" t="s">
        <v>26</v>
      </c>
      <c r="I20">
        <v>1307</v>
      </c>
      <c r="J20">
        <v>12077</v>
      </c>
      <c r="K20" s="4">
        <f t="shared" si="0"/>
        <v>0.10822224062267119</v>
      </c>
    </row>
    <row r="21" spans="1:11" x14ac:dyDescent="0.3">
      <c r="A21" t="s">
        <v>17</v>
      </c>
      <c r="B21" t="str">
        <f>VLOOKUP(A21,Sheet2!A:B,2,FALSE)</f>
        <v>bingo额外wild技能广告</v>
      </c>
      <c r="C21" t="s">
        <v>26</v>
      </c>
      <c r="D21" t="s">
        <v>22</v>
      </c>
      <c r="E21">
        <v>593372.09302325582</v>
      </c>
      <c r="F21">
        <v>0.1557622739018088</v>
      </c>
      <c r="G21">
        <v>1.3695090439276481</v>
      </c>
      <c r="H21" t="s">
        <v>26</v>
      </c>
      <c r="I21">
        <v>387</v>
      </c>
      <c r="J21">
        <v>12077</v>
      </c>
      <c r="K21" s="4">
        <f t="shared" si="0"/>
        <v>3.2044381882917944E-2</v>
      </c>
    </row>
    <row r="22" spans="1:11" x14ac:dyDescent="0.3">
      <c r="A22" t="s">
        <v>14</v>
      </c>
      <c r="B22" t="str">
        <f>VLOOKUP(A22,Sheet2!A:B,2,FALSE)</f>
        <v>通用翻倍奖励</v>
      </c>
      <c r="C22" t="s">
        <v>27</v>
      </c>
      <c r="D22" t="s">
        <v>21</v>
      </c>
      <c r="E22">
        <v>921209.30232558143</v>
      </c>
      <c r="F22">
        <v>1.6544961240310081</v>
      </c>
      <c r="G22">
        <v>1.844961240310077</v>
      </c>
      <c r="H22">
        <v>1.4129457364341089</v>
      </c>
      <c r="I22">
        <v>129</v>
      </c>
      <c r="J22">
        <v>12077</v>
      </c>
      <c r="K22" s="4">
        <f t="shared" si="0"/>
        <v>1.0681460627639314E-2</v>
      </c>
    </row>
    <row r="23" spans="1:11" x14ac:dyDescent="0.3">
      <c r="A23" t="s">
        <v>14</v>
      </c>
      <c r="B23" t="str">
        <f>VLOOKUP(A23,Sheet2!A:B,2,FALSE)</f>
        <v>通用翻倍奖励</v>
      </c>
      <c r="C23" t="s">
        <v>27</v>
      </c>
      <c r="D23" t="s">
        <v>22</v>
      </c>
      <c r="E23">
        <v>700000</v>
      </c>
      <c r="F23">
        <v>0.55777777777777771</v>
      </c>
      <c r="G23">
        <v>0.88888888888888884</v>
      </c>
      <c r="H23">
        <v>20000</v>
      </c>
      <c r="I23">
        <v>9</v>
      </c>
      <c r="J23">
        <v>12077</v>
      </c>
      <c r="K23" s="4">
        <f t="shared" si="0"/>
        <v>7.4521818332367305E-4</v>
      </c>
    </row>
    <row r="24" spans="1:11" x14ac:dyDescent="0.3">
      <c r="A24" t="s">
        <v>14</v>
      </c>
      <c r="B24" t="str">
        <f>VLOOKUP(A24,Sheet2!A:B,2,FALSE)</f>
        <v>通用翻倍奖励</v>
      </c>
      <c r="C24" t="s">
        <v>18</v>
      </c>
      <c r="D24" t="s">
        <v>21</v>
      </c>
      <c r="E24">
        <v>866887.75290697673</v>
      </c>
      <c r="F24">
        <v>1.779345930232558</v>
      </c>
      <c r="G24">
        <v>1.106104651162791</v>
      </c>
      <c r="H24">
        <v>1.5357994186046511</v>
      </c>
      <c r="I24">
        <v>688</v>
      </c>
      <c r="J24">
        <v>12077</v>
      </c>
      <c r="K24" s="4">
        <f t="shared" si="0"/>
        <v>5.6967790014076342E-2</v>
      </c>
    </row>
    <row r="25" spans="1:11" x14ac:dyDescent="0.3">
      <c r="A25" t="s">
        <v>14</v>
      </c>
      <c r="B25" t="str">
        <f>VLOOKUP(A25,Sheet2!A:B,2,FALSE)</f>
        <v>通用翻倍奖励</v>
      </c>
      <c r="C25" t="s">
        <v>18</v>
      </c>
      <c r="D25" t="s">
        <v>22</v>
      </c>
      <c r="E25">
        <v>938677.41935483867</v>
      </c>
      <c r="F25">
        <v>0.71645161290322579</v>
      </c>
      <c r="G25">
        <v>0.80645161290322576</v>
      </c>
      <c r="H25">
        <v>128387.0967741935</v>
      </c>
      <c r="I25">
        <v>31</v>
      </c>
      <c r="J25">
        <v>12077</v>
      </c>
      <c r="K25" s="4">
        <f t="shared" si="0"/>
        <v>2.5668626314482071E-3</v>
      </c>
    </row>
    <row r="26" spans="1:11" x14ac:dyDescent="0.3">
      <c r="A26" t="s">
        <v>14</v>
      </c>
      <c r="B26" t="str">
        <f>VLOOKUP(A26,Sheet2!A:B,2,FALSE)</f>
        <v>通用翻倍奖励</v>
      </c>
      <c r="C26" t="s">
        <v>19</v>
      </c>
      <c r="D26" t="s">
        <v>21</v>
      </c>
      <c r="E26">
        <v>830372.84317718935</v>
      </c>
      <c r="F26">
        <v>1.65477800407332</v>
      </c>
      <c r="G26">
        <v>2.0138492871690432</v>
      </c>
      <c r="H26">
        <v>1.4475600814663949</v>
      </c>
      <c r="I26">
        <v>2455</v>
      </c>
      <c r="J26">
        <v>12077</v>
      </c>
      <c r="K26" s="4">
        <f t="shared" si="0"/>
        <v>0.20327896000662415</v>
      </c>
    </row>
    <row r="27" spans="1:11" x14ac:dyDescent="0.3">
      <c r="A27" t="s">
        <v>14</v>
      </c>
      <c r="B27" t="str">
        <f>VLOOKUP(A27,Sheet2!A:B,2,FALSE)</f>
        <v>通用翻倍奖励</v>
      </c>
      <c r="C27" t="s">
        <v>19</v>
      </c>
      <c r="D27" t="s">
        <v>22</v>
      </c>
      <c r="E27">
        <v>741983.05084745761</v>
      </c>
      <c r="F27">
        <v>0.46644067796610172</v>
      </c>
      <c r="G27">
        <v>1.9830508474576269</v>
      </c>
      <c r="H27">
        <v>37288.135593220337</v>
      </c>
      <c r="I27">
        <v>59</v>
      </c>
      <c r="J27">
        <v>12077</v>
      </c>
      <c r="K27" s="4">
        <f t="shared" si="0"/>
        <v>4.8853192017885233E-3</v>
      </c>
    </row>
    <row r="28" spans="1:11" x14ac:dyDescent="0.3">
      <c r="A28" t="s">
        <v>14</v>
      </c>
      <c r="B28" t="str">
        <f>VLOOKUP(A28,Sheet2!A:B,2,FALSE)</f>
        <v>通用翻倍奖励</v>
      </c>
      <c r="C28" t="s">
        <v>20</v>
      </c>
      <c r="D28" t="s">
        <v>21</v>
      </c>
      <c r="E28">
        <v>800874.05150214594</v>
      </c>
      <c r="F28">
        <v>2.0181545064377682</v>
      </c>
      <c r="G28">
        <v>1.3476394849785409</v>
      </c>
      <c r="H28">
        <v>1.597796852646638</v>
      </c>
      <c r="I28">
        <v>699</v>
      </c>
      <c r="J28">
        <v>12077</v>
      </c>
      <c r="K28" s="4">
        <f t="shared" si="0"/>
        <v>5.7878612238138609E-2</v>
      </c>
    </row>
    <row r="29" spans="1:11" x14ac:dyDescent="0.3">
      <c r="A29" t="s">
        <v>14</v>
      </c>
      <c r="B29" t="str">
        <f>VLOOKUP(A29,Sheet2!A:B,2,FALSE)</f>
        <v>通用翻倍奖励</v>
      </c>
      <c r="C29" t="s">
        <v>20</v>
      </c>
      <c r="D29" t="s">
        <v>22</v>
      </c>
      <c r="E29">
        <v>734063.49206349207</v>
      </c>
      <c r="F29">
        <v>0.56000000000000005</v>
      </c>
      <c r="G29">
        <v>0.61904761904761907</v>
      </c>
      <c r="H29">
        <v>56825.396825396827</v>
      </c>
      <c r="I29">
        <v>63</v>
      </c>
      <c r="J29">
        <v>12077</v>
      </c>
      <c r="K29" s="4">
        <f t="shared" si="0"/>
        <v>5.2165272832657116E-3</v>
      </c>
    </row>
  </sheetData>
  <phoneticPr fontId="3" type="noConversion"/>
  <conditionalFormatting sqref="K1:K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{F0B093AB-D7A6-438B-85A5-5DDE774720B6}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B093AB-D7A6-438B-85A5-5DDE77472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9945-DFBE-495F-9CD4-9179FFAF9DB2}">
  <dimension ref="A1:B19"/>
  <sheetViews>
    <sheetView workbookViewId="0">
      <selection sqref="A1:B19"/>
    </sheetView>
  </sheetViews>
  <sheetFormatPr defaultRowHeight="13.5" x14ac:dyDescent="0.3"/>
  <sheetData>
    <row r="1" spans="1:2" x14ac:dyDescent="0.3">
      <c r="A1" s="5" t="s">
        <v>11</v>
      </c>
      <c r="B1" s="6" t="s">
        <v>29</v>
      </c>
    </row>
    <row r="2" spans="1:2" x14ac:dyDescent="0.3">
      <c r="A2" s="5" t="s">
        <v>10</v>
      </c>
      <c r="B2" s="5" t="s">
        <v>30</v>
      </c>
    </row>
    <row r="3" spans="1:2" x14ac:dyDescent="0.3">
      <c r="A3" s="5" t="s">
        <v>17</v>
      </c>
      <c r="B3" s="5" t="s">
        <v>31</v>
      </c>
    </row>
    <row r="4" spans="1:2" x14ac:dyDescent="0.3">
      <c r="A4" s="5" t="s">
        <v>9</v>
      </c>
      <c r="B4" s="5" t="s">
        <v>32</v>
      </c>
    </row>
    <row r="5" spans="1:2" x14ac:dyDescent="0.3">
      <c r="A5" s="5" t="s">
        <v>8</v>
      </c>
      <c r="B5" s="5" t="s">
        <v>33</v>
      </c>
    </row>
    <row r="6" spans="1:2" x14ac:dyDescent="0.3">
      <c r="A6" s="5" t="s">
        <v>13</v>
      </c>
      <c r="B6" s="5" t="s">
        <v>34</v>
      </c>
    </row>
    <row r="7" spans="1:2" x14ac:dyDescent="0.3">
      <c r="A7" s="5" t="s">
        <v>12</v>
      </c>
      <c r="B7" s="5" t="s">
        <v>35</v>
      </c>
    </row>
    <row r="8" spans="1:2" x14ac:dyDescent="0.3">
      <c r="A8" s="5" t="s">
        <v>7</v>
      </c>
      <c r="B8" s="5" t="s">
        <v>36</v>
      </c>
    </row>
    <row r="9" spans="1:2" x14ac:dyDescent="0.3">
      <c r="A9" s="5" t="s">
        <v>15</v>
      </c>
      <c r="B9" s="5" t="s">
        <v>37</v>
      </c>
    </row>
    <row r="10" spans="1:2" x14ac:dyDescent="0.3">
      <c r="A10" s="5" t="s">
        <v>14</v>
      </c>
      <c r="B10" s="5" t="s">
        <v>38</v>
      </c>
    </row>
    <row r="11" spans="1:2" x14ac:dyDescent="0.3">
      <c r="A11" s="5" t="s">
        <v>16</v>
      </c>
      <c r="B11" s="5" t="s">
        <v>39</v>
      </c>
    </row>
    <row r="12" spans="1:2" x14ac:dyDescent="0.3">
      <c r="A12" s="5" t="s">
        <v>40</v>
      </c>
      <c r="B12" s="5" t="s">
        <v>41</v>
      </c>
    </row>
    <row r="13" spans="1:2" x14ac:dyDescent="0.3">
      <c r="A13" s="5" t="s">
        <v>42</v>
      </c>
      <c r="B13" s="5" t="s">
        <v>43</v>
      </c>
    </row>
    <row r="14" spans="1:2" x14ac:dyDescent="0.3">
      <c r="A14" s="5" t="s">
        <v>44</v>
      </c>
      <c r="B14" s="5" t="s">
        <v>45</v>
      </c>
    </row>
    <row r="15" spans="1:2" x14ac:dyDescent="0.3">
      <c r="A15" s="5" t="s">
        <v>46</v>
      </c>
      <c r="B15" s="7" t="s">
        <v>47</v>
      </c>
    </row>
    <row r="16" spans="1:2" x14ac:dyDescent="0.3">
      <c r="A16" s="7" t="s">
        <v>48</v>
      </c>
      <c r="B16" s="7" t="s">
        <v>49</v>
      </c>
    </row>
    <row r="17" spans="1:2" x14ac:dyDescent="0.3">
      <c r="A17" s="7" t="s">
        <v>50</v>
      </c>
      <c r="B17" s="6" t="s">
        <v>51</v>
      </c>
    </row>
    <row r="18" spans="1:2" x14ac:dyDescent="0.3">
      <c r="A18" s="7" t="s">
        <v>52</v>
      </c>
      <c r="B18" s="7" t="s">
        <v>53</v>
      </c>
    </row>
    <row r="19" spans="1:2" x14ac:dyDescent="0.3">
      <c r="A19" s="8" t="s">
        <v>54</v>
      </c>
      <c r="B19" s="8" t="s">
        <v>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唐以乐</cp:lastModifiedBy>
  <dcterms:created xsi:type="dcterms:W3CDTF">2023-10-20T08:06:34Z</dcterms:created>
  <dcterms:modified xsi:type="dcterms:W3CDTF">2023-10-20T08:09:03Z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f190b0b3-c65a-4628-a3d7-88eaa6ebc594</vt:lpwstr>
  </property>
</Properties>
</file>